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ehk\OneDrive\바탕 화면\"/>
    </mc:Choice>
  </mc:AlternateContent>
  <xr:revisionPtr revIDLastSave="0" documentId="13_ncr:1_{1BABF1D4-4BA1-40A6-8FB7-751D9BCFD28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진척사항" sheetId="1" r:id="rId1"/>
    <sheet name="회원가입" sheetId="2" r:id="rId2"/>
    <sheet name="로그인" sheetId="3" r:id="rId3"/>
    <sheet name="문의" sheetId="4" r:id="rId4"/>
    <sheet name="뉴스" sheetId="5" r:id="rId5"/>
    <sheet name="회원관리" sheetId="6" r:id="rId6"/>
  </sheets>
  <definedNames>
    <definedName name="_xlnm._FilterDatabase" localSheetId="4" hidden="1">뉴스!$A$1:$H$1</definedName>
    <definedName name="_xlnm._FilterDatabase" localSheetId="2" hidden="1">로그인!$A$1:$H$1</definedName>
    <definedName name="_xlnm._FilterDatabase" localSheetId="3" hidden="1">문의!$A$1:$H$1</definedName>
    <definedName name="_xlnm._FilterDatabase" localSheetId="0" hidden="1">진척사항!$A$1:$G$21</definedName>
    <definedName name="_xlnm._FilterDatabase" localSheetId="1" hidden="1">회원가입!$A$1:$H$1</definedName>
    <definedName name="_xlnm._FilterDatabase" localSheetId="5" hidden="1">회원관리!$A$1:$H$1</definedName>
  </definedNames>
  <calcPr calcId="191029"/>
</workbook>
</file>

<file path=xl/calcChain.xml><?xml version="1.0" encoding="utf-8"?>
<calcChain xmlns="http://schemas.openxmlformats.org/spreadsheetml/2006/main">
  <c r="E19" i="1" l="1"/>
  <c r="E14" i="1"/>
  <c r="E21" i="1" s="1"/>
  <c r="E10" i="1"/>
  <c r="E4" i="1"/>
  <c r="E2" i="1"/>
  <c r="F2" i="1"/>
  <c r="G19" i="1"/>
  <c r="G4" i="1"/>
  <c r="F4" i="1"/>
  <c r="F14" i="1"/>
  <c r="G10" i="1"/>
  <c r="F10" i="1"/>
  <c r="F19" i="1"/>
  <c r="G14" i="1"/>
  <c r="G2" i="1"/>
  <c r="G21" i="1" l="1"/>
  <c r="F21" i="1"/>
</calcChain>
</file>

<file path=xl/sharedStrings.xml><?xml version="1.0" encoding="utf-8"?>
<sst xmlns="http://schemas.openxmlformats.org/spreadsheetml/2006/main" count="601" uniqueCount="378">
  <si>
    <t>메뉴명</t>
  </si>
  <si>
    <t>상세메뉴</t>
  </si>
  <si>
    <t>URL</t>
  </si>
  <si>
    <t>담당자</t>
  </si>
  <si>
    <t>전체건수</t>
  </si>
  <si>
    <t>성공건수</t>
  </si>
  <si>
    <t>실패건수</t>
  </si>
  <si>
    <t>회원가입</t>
  </si>
  <si>
    <t>이호균</t>
  </si>
  <si>
    <t>로그인</t>
  </si>
  <si>
    <t>문의</t>
  </si>
  <si>
    <t>뉴스</t>
  </si>
  <si>
    <t>회원관리</t>
  </si>
  <si>
    <t>합계</t>
  </si>
  <si>
    <t>테스트 ID</t>
  </si>
  <si>
    <t>메뉴명 상세</t>
  </si>
  <si>
    <t>개발담당자</t>
  </si>
  <si>
    <t>테스트 내용</t>
  </si>
  <si>
    <t>기대 결과</t>
  </si>
  <si>
    <t>실제 결과</t>
  </si>
  <si>
    <t>테스트 수행일</t>
  </si>
  <si>
    <t>기타</t>
  </si>
  <si>
    <t>TC_SIGNUP_001</t>
  </si>
  <si>
    <t>회원가입 - 성공</t>
  </si>
  <si>
    <t xml:space="preserve">
1) 모든 필수값 유효 입력 
2) ID/Email 중복확인으로 토큰 발급 
3) 약관 동의
4) [가입하기] 클릭
</t>
  </si>
  <si>
    <t>1) 가입 성공 알림 후 로그인 성공 카드 페이지로 이동
2) [로그인] 버튼 클릭 시 로그인 창으로 이동
3) [홈으로] 버튼 클릭 시 Home 페이지로 이동</t>
  </si>
  <si>
    <t>TC_SIGNUP_002</t>
  </si>
  <si>
    <t xml:space="preserve"> ID 중복확인- 사용가능</t>
  </si>
  <si>
    <t xml:space="preserve">
테스트 ID: testuser100
1) 아이디 입력 
2) [ID 중복확인] 클릭
</t>
  </si>
  <si>
    <t>1) 초록 안내: '사용 가능한 아이디입니다.' 
2) 토큰(id_check_token) 발급</t>
  </si>
  <si>
    <t>TC_SIGNUP_003</t>
  </si>
  <si>
    <t xml:space="preserve"> ID 중복확인- 사용중</t>
  </si>
  <si>
    <t xml:space="preserve">
테스트 ID: testuser1
1) 이미 존재하는 아이디 입력 
2) [ID 중복확인] 클릭
</t>
  </si>
  <si>
    <t>1) 빨간 안내: '이미 사용 중인 아이디입니다.' 
2) 토큰(id_check_token) 미발급</t>
  </si>
  <si>
    <t>TC_SIGNUP_004</t>
  </si>
  <si>
    <t xml:space="preserve"> ID 중복확인- 형식 오류</t>
  </si>
  <si>
    <t xml:space="preserve">
테스트 ID: 가나다라
1) 형식 위반 아이디 입력
2) [ID 중복확인] 클릭
</t>
  </si>
  <si>
    <t>1) 빨간 안내: '아이디는 5~20자의 영문 소문자/숫자만 사용가능합니다.' 
2) 토큰(id_check_token) 미발급</t>
  </si>
  <si>
    <t>TC_SIGNUP_005</t>
  </si>
  <si>
    <t xml:space="preserve"> Email 중복확인- 사용 가능</t>
  </si>
  <si>
    <t>1) 초록 안내: '사용 가능한 이메일입니다.' 
2) 토큰(email_check_token) 발급</t>
  </si>
  <si>
    <t>TC_SIGNUP_006</t>
  </si>
  <si>
    <t xml:space="preserve"> Email 중복확인- 사용 중</t>
  </si>
  <si>
    <t>1) 빨간 안내: '이미 사용 중인 이메일입니다.' 
2) 토큰(email_check_token) 미발급</t>
  </si>
  <si>
    <t>TC_SIGNUP_007</t>
  </si>
  <si>
    <t xml:space="preserve"> Email 중복확인- 형식 오류</t>
  </si>
  <si>
    <t>1) 빨간 안내: '이메일 형식이 올바르지 않습니다.' 
2) 토큰(email_check_token) 미발급</t>
  </si>
  <si>
    <t>TC_SIGNUP_008</t>
  </si>
  <si>
    <t xml:space="preserve"> Email 중복확인-  미허용 도메인</t>
  </si>
  <si>
    <t>1) 빨간 안내: '허용된 도메인만 사용할 수 있습니다. (gmail/naver/kakao)' 
2) 토큰(email_check_token) 미발급</t>
  </si>
  <si>
    <t>TC_SIGNUP_009</t>
  </si>
  <si>
    <t>비밀번호 정책 미충족</t>
  </si>
  <si>
    <t>TC_SIGNUP_010</t>
  </si>
  <si>
    <t>비밀번호 불일치</t>
  </si>
  <si>
    <t xml:space="preserve">
1) pw와 pw 확인이 다르게 입력
2) [가입하기] 클릭
</t>
  </si>
  <si>
    <t>1) 빨간 안내: '비밀번호 확인이 일치하지 않습니다.'</t>
  </si>
  <si>
    <t>TC_SIGNUP_011</t>
  </si>
  <si>
    <t>이름 정책 미충족</t>
  </si>
  <si>
    <t xml:space="preserve">
테스트 이름:ㄱㄴㄷㄹ
1) 정책 미충족 이름 입력
2) [가입하기] 클릭
</t>
  </si>
  <si>
    <t xml:space="preserve">
1) 빨간 안내: '사용 불가능한 이름입니다.'
</t>
  </si>
  <si>
    <t>TC_SIGNUP_012</t>
  </si>
  <si>
    <t>생년월일 오류 - 만 14세 미만</t>
  </si>
  <si>
    <t xml:space="preserve">
1) 만 14세 미만 생년월일(2020-10-04 등) 입력
2) [가입하기] 클릭
</t>
  </si>
  <si>
    <t xml:space="preserve">
1) 빨간 안내: '만 14세 이상만 가입할 수 있습니다.'
</t>
  </si>
  <si>
    <t>TC_SIGNUP_013</t>
  </si>
  <si>
    <t>생년월일 오류 - 잘못된 나이</t>
  </si>
  <si>
    <t>TC_SIGNUP_014</t>
  </si>
  <si>
    <t>약관 미동의</t>
  </si>
  <si>
    <t xml:space="preserve">
1) 약관 체크 해제 상태에서 제출
2) [가입하기] 클릭
</t>
  </si>
  <si>
    <t xml:space="preserve">
1) 빨간 안내: '이용약관 동의가 필요합니다.'
</t>
  </si>
  <si>
    <t>TC_LOGIN_001</t>
  </si>
  <si>
    <t xml:space="preserve">로그인 - 성공 </t>
  </si>
  <si>
    <t>1) 로그인 성공 후 기본 랜딩 페이지(Home 페이지)로 이동
2) 헤더에 [등급 OOO님] 표기. 일반 유저는 [OOO님] 표기.</t>
  </si>
  <si>
    <t>TC_LOGIN_002</t>
  </si>
  <si>
    <t>로그인 - 실패(아이디/비밀번호 미입력)</t>
  </si>
  <si>
    <t xml:space="preserve">
1) 아이디 or 비밀번호 미입력
2) [로그인] 클릭
</t>
  </si>
  <si>
    <t>1) alert 오류 배너: '아이디와 비밀번호를 입력하세요.'</t>
  </si>
  <si>
    <t>TC_LOGIN_003</t>
  </si>
  <si>
    <t>로그인 - 실패(아이디 대문자 입력)</t>
  </si>
  <si>
    <t xml:space="preserve">
1) 아이디에 대문자 포함해서 입력
2) [로그인] 클릭
</t>
  </si>
  <si>
    <t>1) alert 오류 배너: '아이디에 대문자는 사용할 수 없습니다.'</t>
  </si>
  <si>
    <t>TC_LOGIN_004</t>
  </si>
  <si>
    <t>로그인 - 실패(미가입 계정)</t>
  </si>
  <si>
    <t xml:space="preserve">
1) 가입되지 않은 아이디 or  잘못된 비밀번호 입력
2) [로그인] 클릭
</t>
  </si>
  <si>
    <t>1) alert 오류 배너: '아이디 또는 비밀번호가 일치하지 않습니다.'</t>
  </si>
  <si>
    <t>TC_LOGIN_005</t>
  </si>
  <si>
    <t>아이디 찾기 - 성공</t>
  </si>
  <si>
    <t>1) 결과 카드에 아이디 표시
2) [로그인]/[비밀번호 찾기] 버튼 노출
3) 뒤로가기 시 아이디 찾기 페이지로 이동</t>
  </si>
  <si>
    <t>TC_LOGIN_006</t>
  </si>
  <si>
    <t>아이디 찾기 - 미가입자</t>
  </si>
  <si>
    <t xml:space="preserve">
1) 이름/이메일 존재하지 않는 조합 입력 
2) [확인] 클릭
</t>
  </si>
  <si>
    <t>TC_LOGIN_007</t>
  </si>
  <si>
    <t>아이디 찾기 - 입력 형식 오류</t>
  </si>
  <si>
    <t xml:space="preserve">
1) 이름/이메일 미입력 및 형식 오류
2) [확인] 클릭
</t>
  </si>
  <si>
    <t xml:space="preserve">
1) 필드 하단 빨간글씨
   1.1 '이름을 입력해주세요.'
   1.2 '이메일을 입력해주세요.', '이메일 형식이 올바르지 않습니다'
2) 제출 차단
</t>
  </si>
  <si>
    <t>TC_LOGIN_008</t>
  </si>
  <si>
    <t>비밀번호 찾기 - 성공</t>
  </si>
  <si>
    <t>TC_LOGIN_009</t>
  </si>
  <si>
    <t>TC_LOGIN_010</t>
  </si>
  <si>
    <t>비밀번호 찾기 - 아이디 미입력</t>
  </si>
  <si>
    <t xml:space="preserve">
1) 미입력 상태에서 [확인] 클릭
</t>
  </si>
  <si>
    <t>1) 필드 하단 빨간글씨: '아이디를 입력해주세요.'
2) 제출 차단</t>
  </si>
  <si>
    <t>TC_LOGIN_011</t>
  </si>
  <si>
    <t>비밀번호 변경 - 성공</t>
  </si>
  <si>
    <t xml:space="preserve">
1) 로그인 상태에서 현재 pw/새 pw/확인 pw 입력 
2) [확인] 클릭
</t>
  </si>
  <si>
    <t>1) alert 팝업: '비밀번호가 변경되었습니다. 다시 로그인 해주세요.'  
2) 자동 로그아웃 후 로그인 화면으로 이동</t>
  </si>
  <si>
    <t>TC_LOGIN_012</t>
  </si>
  <si>
    <t>비밀번호 변경 - 현재 비밀번호 불일치</t>
  </si>
  <si>
    <t xml:space="preserve">
1) 잘못된 현재 비밀번호 입력
2) 변경할 새 pw/확인 pw 입력
3) [확인] 클릭
</t>
  </si>
  <si>
    <t>TC_LOGIN_013</t>
  </si>
  <si>
    <t>비밀번호 변경 - 동일한 비밀번호</t>
  </si>
  <si>
    <t xml:space="preserve">
1) 현재 pw/새 pw/ 확인 pw 모두 동일하게 입력
2) [확인] 클릭
</t>
  </si>
  <si>
    <t>TC_LOGIN_014</t>
  </si>
  <si>
    <t xml:space="preserve">비밀번호 변경 - 새 비밀번호 정책 미충족 </t>
  </si>
  <si>
    <t>TC_LOGIN_015</t>
  </si>
  <si>
    <t xml:space="preserve">비밀번호 변경 - 확인 비밀번호 불일치 </t>
  </si>
  <si>
    <t xml:space="preserve">
1) 새 pw와 확인 pw 값 다르게 입력
2) [확인] 클릭
</t>
  </si>
  <si>
    <t>1) 필드 하단 빨간글씨: '비밀번호가 일치하지 않습니다.'
2) 제출 차단</t>
  </si>
  <si>
    <t>TC_LOGIN_016</t>
  </si>
  <si>
    <t>로그아웃</t>
  </si>
  <si>
    <t xml:space="preserve">
1) 로그인 후 헤더 side bar에서 로그아웃 버튼 클릭 
</t>
  </si>
  <si>
    <t>TC_INQUIRY_001</t>
  </si>
  <si>
    <t>문의하기/공개 - 성공 제출</t>
  </si>
  <si>
    <t xml:space="preserve">
1) 이름/이메일/제목/내용(50자 이상) 입력 
2) [제출하기] 버튼 클릭
</t>
  </si>
  <si>
    <t>1) 초록 안내: 성공 안내 메시지 출력
2) 내용 초기화</t>
  </si>
  <si>
    <t>TC_INQUIRY_002</t>
  </si>
  <si>
    <t>문의하기/공개 - 이름 미입력</t>
  </si>
  <si>
    <t xml:space="preserve">
1) 이름 공란 제출 
2) [제출하기] 버튼 클릭
</t>
  </si>
  <si>
    <t>1) 빨간 안내: 이름 필드 하단에 '성명을 입력해주세요.'
2) 제출 차단</t>
  </si>
  <si>
    <t>TC_INQUIRY_003</t>
  </si>
  <si>
    <t>문의하기/공개 - 이메일 미입력</t>
  </si>
  <si>
    <t xml:space="preserve">
1) 이메일 공란 제출
2) [제출하기] 버튼 클릭
</t>
  </si>
  <si>
    <t>1) 빨간 안내: 이메일 필드 하단에 '이메일을 입력해주세요.'
2) 제출 차단</t>
  </si>
  <si>
    <t>TC_INQUIRY_004</t>
  </si>
  <si>
    <t>문의하기/공개 - 이메일 형식 오류</t>
  </si>
  <si>
    <t xml:space="preserve">
1) 잘못된 이메일 제출 
2) [제출하기] 버튼 클릭
</t>
  </si>
  <si>
    <t>1) 빨간 안내: 이메일 필드 하단에 '이메일 형식을 확인해주세요.'
2) 제출 차단</t>
  </si>
  <si>
    <t>TC_INQUIRY_005</t>
  </si>
  <si>
    <t>문의하기/공개 - 제목 미입력</t>
  </si>
  <si>
    <t>1) 빨간 안내: 이메일 필드 하단에 '제목을 입력해주세요.'
2) 제출 차단</t>
  </si>
  <si>
    <t>TC_INQUIRY_006</t>
  </si>
  <si>
    <t>문의하기/공개 - 내용 50자 미만</t>
  </si>
  <si>
    <t xml:space="preserve">
1) 내용 50자 미만 제출
2) [제출하기] 버튼 클릭
</t>
  </si>
  <si>
    <t>1) 빨간 안내: 이메일 필드 하단에 '메시지는 50자 이상 입력해주세요.'
2) 제출 차단</t>
  </si>
  <si>
    <t>TC_INQUIRY_007</t>
  </si>
  <si>
    <t>문의 게시판 접근 권한 - 비회원</t>
  </si>
  <si>
    <t xml:space="preserve">
1) 비회원으로 /contact/board 접속 
2) 문의 게시판 접근 여부 확인
</t>
  </si>
  <si>
    <t>1) 로그인 창으로 이동</t>
  </si>
  <si>
    <t>TC_INQUIRY_008</t>
  </si>
  <si>
    <t>문의 게시판 접근 권한 - 일반 유저</t>
  </si>
  <si>
    <t xml:space="preserve">
1) 일반 유저 계정으로 /contact/board 접속 
2) 문의 게시판 접근 여부 확인
</t>
  </si>
  <si>
    <t>1) 404 Not Found 페이지로 이동 
=&gt; /forbidden 으로 접속됨</t>
  </si>
  <si>
    <t>TC_INQUIRY_009</t>
  </si>
  <si>
    <t>문의 게시판 접근 권한 - Admin/Super Admin</t>
  </si>
  <si>
    <t xml:space="preserve">
1) 관리자/슈퍼관리자 계정으로 /contact/board 접속 
2) 문의 게시판 접근 여부 확인
</t>
  </si>
  <si>
    <t>1) 문의 게시판으로 정상 이동</t>
  </si>
  <si>
    <t>TC_INQUIRY_010</t>
  </si>
  <si>
    <t>문의/관리자 - 목록 조회</t>
  </si>
  <si>
    <t xml:space="preserve">
1) 문의글 데이터가 정상적으로 조회되는지 확인
</t>
  </si>
  <si>
    <t xml:space="preserve">
1) 기본 정렬: 최신 등록순
2) 컬럼: No/제목/글쓴이/등록일/처리상태 등 표시
3) 우측 상단 총 문의글 개수 표시
</t>
  </si>
  <si>
    <t>TC_INQUIRY_011</t>
  </si>
  <si>
    <t>1) 각 조건에 따른 데이터가 정상적으로 조회 됨
2) 조회 시 No를 1부터 재정렬
3) 문의 글 총 개수도 검색 조건에 맞게 다시 계산되어 반환</t>
  </si>
  <si>
    <t>TC_INQUIRY_012</t>
  </si>
  <si>
    <t>문의/관리자 - 상세 진입</t>
  </si>
  <si>
    <t xml:space="preserve">
1) 문의 리스트에서 문의글 제목 클릭
</t>
  </si>
  <si>
    <t>1) 상세 페이지로 이동하여 문의 내용이 정상적으로 표시 됨</t>
  </si>
  <si>
    <t>TC_INQUIRY_013</t>
  </si>
  <si>
    <t>문의/관리자 - 처리 상태 변경</t>
  </si>
  <si>
    <t xml:space="preserve">
1) 상세에서 [처리완료] 버튼 클릭
</t>
  </si>
  <si>
    <t>1) 상태가 처리 완료로 변경됨</t>
  </si>
  <si>
    <t>TC_INQUIRY_014</t>
  </si>
  <si>
    <t>문의/관리자 - 처리 상태 되돌리기 금지</t>
  </si>
  <si>
    <t xml:space="preserve">
1) 처리 완료 상태를 처리 중으로 되돌리기 시도 - [처리완료] 버튼 클릭
</t>
  </si>
  <si>
    <t>1) 처리 완료 버튼이 비활성화 되어 클릭이 안됨</t>
  </si>
  <si>
    <t>TC_INQUIRY_015</t>
  </si>
  <si>
    <t xml:space="preserve">문의/관리자 - 목록으로 </t>
  </si>
  <si>
    <t xml:space="preserve">
1) [목록으로] 버튼 클릭
</t>
  </si>
  <si>
    <t>1) 문의 게시판으로 되돌아감</t>
  </si>
  <si>
    <t>TC_INQUIRY_016</t>
  </si>
  <si>
    <t>문의/관리자 - 문의 글 삭제</t>
  </si>
  <si>
    <t xml:space="preserve">
1) [삭제] 버튼 클릭
2) 확인
</t>
  </si>
  <si>
    <t>1) alert 팝업: '정말 삭제하시겠습니까?' 
2) [확인] 클릭 시 영구 삭제되고, UI에 즉시 반영됨</t>
  </si>
  <si>
    <t>TC_NEWS_001</t>
  </si>
  <si>
    <t xml:space="preserve"> 뉴스/공개 - 목록 조회</t>
  </si>
  <si>
    <t>TC_NEWS_002</t>
  </si>
  <si>
    <t xml:space="preserve"> 뉴스/공개 - 카테고리 탭(내부발표)</t>
  </si>
  <si>
    <t>1) [내부발표] 탭 클릭</t>
  </si>
  <si>
    <t>1) INTERNAL 카테고리만 목록에 표시</t>
  </si>
  <si>
    <t xml:space="preserve">
</t>
  </si>
  <si>
    <t>TC_NEWS_003</t>
  </si>
  <si>
    <t xml:space="preserve"> 뉴스/공개 - 카테고리 탭(외부발표)</t>
  </si>
  <si>
    <t>1) [외부발표] 탭 클릭</t>
  </si>
  <si>
    <t>1) EXTERNAL 카테고리만 목록에 표시</t>
  </si>
  <si>
    <t>TC_NEWS_004</t>
  </si>
  <si>
    <t xml:space="preserve"> 뉴스/공개 - 카테고리 탭(전체)</t>
  </si>
  <si>
    <t>1) [전체] 탭 클릭</t>
  </si>
  <si>
    <t>TC_NEWS_005</t>
  </si>
  <si>
    <t xml:space="preserve"> 뉴스/공개 - 검색</t>
  </si>
  <si>
    <t>1) 각 조건에 따른 데이터가 정상적으로 조회 됨</t>
  </si>
  <si>
    <t>TC_NEWS_006</t>
  </si>
  <si>
    <t>뉴스/공개 - 페이지네이션</t>
  </si>
  <si>
    <t xml:space="preserve">
1) 7건 이상의 뉴스글 준비
2) 다음/이전/맨 앞으로/맨 뒤로/숫자 버튼 클릭
</t>
  </si>
  <si>
    <t>1) PAGE_SIZE=6 기준으로 정상 이동</t>
  </si>
  <si>
    <t>TC_NEWS_007</t>
  </si>
  <si>
    <t>뉴스/공개 - 상세 페이지</t>
  </si>
  <si>
    <t>TC_NEWS_008</t>
  </si>
  <si>
    <t>뉴스/공개 - 상세 404</t>
  </si>
  <si>
    <t xml:space="preserve">
1) 존재하지 않는 news_seq로 상세 접근
</t>
  </si>
  <si>
    <t xml:space="preserve">
1) 뉴스 상세 페이지 내부의 404 처리 화면 렌더링
2) [목록으로] 버튼 클릭 시 뉴스 탭으로 이동하는지 확인
</t>
  </si>
  <si>
    <t>TC_NEWS_009</t>
  </si>
  <si>
    <t>뉴스/관리자 - 접근 권한</t>
  </si>
  <si>
    <t xml:space="preserve">
1) ADMIN/SUPER_ADMIN으로 Media 페이지 접근
</t>
  </si>
  <si>
    <t>1) 선택/등록/수정/삭제 UI 관리자에게만 표시
2) USER/비회원에게는 표시되지 않음</t>
  </si>
  <si>
    <t>TC_NEWS_010</t>
  </si>
  <si>
    <t>뉴스/관리자 - 비관리자 접근</t>
  </si>
  <si>
    <t xml:space="preserve">
1. 등록 URL(/new)
1) USER로 등록 URL 접근
2) 비회원으로 등록 URL 접근
2. 수정 URL(/news_seq/edit)
1) USER로 수정 URL 접근
2) 비회원으로 수정 URL 접근
</t>
  </si>
  <si>
    <t>1. 비회원
1) alert 팝업: '로그인이 필요합니다.'
2) 로그인 창으로 이동
2. USER
1) alert 팝업: '관리자만 접근할 수 있습니다.'
2) Media 페이지로 이동</t>
  </si>
  <si>
    <t>TC_NEWS_011</t>
  </si>
  <si>
    <t>뉴스/관리자 - 뉴스 등록 시 필수값 검증</t>
  </si>
  <si>
    <t>1) 이름/제목/요약/내용/배지 미입력 상태로 등록</t>
  </si>
  <si>
    <t>1) 하나라도 누락 시 [등록하기] 버튼 비활성화 -&gt; 등록 차단</t>
  </si>
  <si>
    <t>TC_NEWS_012</t>
  </si>
  <si>
    <t>뉴스/관리자 - 본문 이미지 업로드</t>
  </si>
  <si>
    <t xml:space="preserve">
1) 파일 선택
2) 이미지 업로드
</t>
  </si>
  <si>
    <t>TC_NEWS_013</t>
  </si>
  <si>
    <t>뉴스/관리자 - 썸네일 업로드</t>
  </si>
  <si>
    <t>TC_NEWS_014</t>
  </si>
  <si>
    <t>뉴스/관리자 - 수정 진입</t>
  </si>
  <si>
    <t xml:space="preserve">
1) 선택 클릭 후 한 개의 뉴스 편집으로 들어가기
</t>
  </si>
  <si>
    <t>1) UI에 기존 데이터가 로드 되는지 확인</t>
  </si>
  <si>
    <t>TC_NEWS_015</t>
  </si>
  <si>
    <t>뉴스/관리자 - 수정 시도</t>
  </si>
  <si>
    <t xml:space="preserve">
1) 선택 -&gt; 뉴스 하나 선택
2) 뉴스 수정 후 저장
</t>
  </si>
  <si>
    <t>1) 다른 필드 유지 되는지 확인
2) 성공적으로 저장되는지 확인</t>
  </si>
  <si>
    <t>TC_NEWS_016</t>
  </si>
  <si>
    <t>뉴스/관리자 - 썸네일 교체</t>
  </si>
  <si>
    <t xml:space="preserve">
1) 새 썸네일 이미지 업로드 후 저장
</t>
  </si>
  <si>
    <t>1) 뉴스 목록에 새 썸네일로 교체됨</t>
  </si>
  <si>
    <t>TC_NEWS_017</t>
  </si>
  <si>
    <t>뉴스/관리자 - 본문 이미지 교체</t>
  </si>
  <si>
    <t xml:space="preserve">
1) 새 본문 이미지 업로드 후 저장
</t>
  </si>
  <si>
    <t>1) 뉴스 상세에 새로운 본문 이미지로 교체됨</t>
  </si>
  <si>
    <t>TC_NEWS_018</t>
  </si>
  <si>
    <t>TC_MEM_001</t>
  </si>
  <si>
    <t>접근 권한 - SUPER_ADMIN 전용</t>
  </si>
  <si>
    <t>1) SUPER_ADMIN으로 /admin/users 접근</t>
  </si>
  <si>
    <t>1) 페이지 정상 진입</t>
  </si>
  <si>
    <t>TC_MEM_002</t>
  </si>
  <si>
    <t>접근 권한 - ADMIN 차단</t>
  </si>
  <si>
    <t xml:space="preserve">
1) ADMIN으로 /admin/users 접근
</t>
  </si>
  <si>
    <t>TC_MEM_003</t>
  </si>
  <si>
    <t>접근 권한 - USER 차단</t>
  </si>
  <si>
    <t xml:space="preserve">
1) USER로 /admin/users 접근
</t>
  </si>
  <si>
    <t>TC_MEM_004</t>
  </si>
  <si>
    <t>접근 권한 - 비회원 차단</t>
  </si>
  <si>
    <t xml:space="preserve">
1) 비회원으로 /admin/users 접근
</t>
  </si>
  <si>
    <t>TC_MEM_005</t>
  </si>
  <si>
    <t>회원 리스트 컬럼 확인</t>
  </si>
  <si>
    <t xml:space="preserve">
1) 페이지 진입 
2) 테이블 확인
</t>
  </si>
  <si>
    <t>1) 컬럼: NO/이름/아이디/역할/작업 컬럼이 순서대로 배치됨
2) 역할 배지(User=회색/Admin=초록색/Super Admin=파란색) 올바른 라벨 및 색상
3) 우측 상단 총 회원 수 표기
4) 좌측 상단 회원 검색 창 존재
5) 하단에 페이지 이동 버튼 존재</t>
  </si>
  <si>
    <t>TC_MEM_006</t>
  </si>
  <si>
    <t>기본 정렬</t>
  </si>
  <si>
    <t xml:space="preserve">
1) 진입 직후 NO 정렬 확인
</t>
  </si>
  <si>
    <t>TC_MEM_007</t>
  </si>
  <si>
    <t>페이지네이션</t>
  </si>
  <si>
    <t xml:space="preserve">
1) 데이터 11명 이상 준비 
2) 페이지 이동
</t>
  </si>
  <si>
    <t>1) PAGE_SIZE=10 기준으로 정상 동작</t>
  </si>
  <si>
    <t>TC_MEM_008</t>
  </si>
  <si>
    <t>검색 - 이름 키워드</t>
  </si>
  <si>
    <t xml:space="preserve">
1) 검색창에 이름 일부 입력
</t>
  </si>
  <si>
    <t>1) 해당 이름 포함 행만 표시
2) 전체 페이지에서 필터링
3) 우측 상단 회원 수도 필터링된 숫자에 맞게 다시 계산됨</t>
  </si>
  <si>
    <t>TC_MEM_009</t>
  </si>
  <si>
    <t>검색 - 아이디 키워드</t>
  </si>
  <si>
    <t xml:space="preserve">
1) 검색창에 아이디 일부 입력
</t>
  </si>
  <si>
    <t>TC_MEM_010</t>
  </si>
  <si>
    <t>검색 - 역할 키워드</t>
  </si>
  <si>
    <t xml:space="preserve">
1) 검색창에 'Super Admin', 'Admin', 'User' 입력
</t>
  </si>
  <si>
    <t>1) 역할이 일치하는 행만 표시
2) 전체 페이지에서 필터링
3) 우측 상단 회원 수도 필터링된 숫자에 맞게 다시 계산됨</t>
  </si>
  <si>
    <t>TC_MEM_011</t>
  </si>
  <si>
    <t>승격(Admin)</t>
  </si>
  <si>
    <t xml:space="preserve">
1) User 행의 [승격(Admin)] 클릭 -&gt; 확인
</t>
  </si>
  <si>
    <t>1) 역할 배지가 Admin으로 즉시 변경
2) 버튼이 [강등(User)]로 변경</t>
  </si>
  <si>
    <t>TC_MEM_012</t>
  </si>
  <si>
    <t>강등(User)</t>
  </si>
  <si>
    <t xml:space="preserve">
1) Admin 행의 [강등(User)] 클릭 -&gt; 확인
</t>
  </si>
  <si>
    <t>1) 역할 배지가 User로 변경
2) 버튼이 [승격(Admin)]으로 변경</t>
  </si>
  <si>
    <t>TC_MEM_013</t>
  </si>
  <si>
    <t>SUPER_ADMIN 수정 불가</t>
  </si>
  <si>
    <t>1) SUPER_ADMIN 행 확인</t>
  </si>
  <si>
    <t>1) 작업 칼럼에 '수정 불가'로 버튼 비활성화</t>
  </si>
  <si>
    <t>회원가입</t>
    <phoneticPr fontId="1" type="noConversion"/>
  </si>
  <si>
    <t>/signup</t>
    <phoneticPr fontId="1" type="noConversion"/>
  </si>
  <si>
    <t>로그인</t>
    <phoneticPr fontId="1" type="noConversion"/>
  </si>
  <si>
    <t>/login</t>
    <phoneticPr fontId="1" type="noConversion"/>
  </si>
  <si>
    <t>아이디 찾기</t>
    <phoneticPr fontId="1" type="noConversion"/>
  </si>
  <si>
    <t>/find-id</t>
    <phoneticPr fontId="1" type="noConversion"/>
  </si>
  <si>
    <t>비밀번호 찾기</t>
    <phoneticPr fontId="1" type="noConversion"/>
  </si>
  <si>
    <t>/find-password</t>
    <phoneticPr fontId="1" type="noConversion"/>
  </si>
  <si>
    <t>비밀번호 변경</t>
    <phoneticPr fontId="1" type="noConversion"/>
  </si>
  <si>
    <t>/change-password</t>
    <phoneticPr fontId="1" type="noConversion"/>
  </si>
  <si>
    <t>로그아웃</t>
    <phoneticPr fontId="1" type="noConversion"/>
  </si>
  <si>
    <t>문의 제출</t>
    <phoneticPr fontId="1" type="noConversion"/>
  </si>
  <si>
    <t>/contact</t>
    <phoneticPr fontId="1" type="noConversion"/>
  </si>
  <si>
    <t xml:space="preserve">문의 게시판 </t>
    <phoneticPr fontId="1" type="noConversion"/>
  </si>
  <si>
    <t>/contact/board</t>
    <phoneticPr fontId="1" type="noConversion"/>
  </si>
  <si>
    <t>문의 게시판 상세진입</t>
    <phoneticPr fontId="1" type="noConversion"/>
  </si>
  <si>
    <t>/contact/board/inquiries_seq</t>
    <phoneticPr fontId="1" type="noConversion"/>
  </si>
  <si>
    <t>/media</t>
    <phoneticPr fontId="1" type="noConversion"/>
  </si>
  <si>
    <t>뉴스 탭</t>
    <phoneticPr fontId="1" type="noConversion"/>
  </si>
  <si>
    <t>뉴스 상세 페이지</t>
    <phoneticPr fontId="1" type="noConversion"/>
  </si>
  <si>
    <t>뉴스 등록 페이지</t>
    <phoneticPr fontId="1" type="noConversion"/>
  </si>
  <si>
    <t>뉴스 수정 페이지</t>
    <phoneticPr fontId="1" type="noConversion"/>
  </si>
  <si>
    <t>/media/news_seq</t>
    <phoneticPr fontId="1" type="noConversion"/>
  </si>
  <si>
    <t>/media/new</t>
    <phoneticPr fontId="1" type="noConversion"/>
  </si>
  <si>
    <t>회원 관리 페이지</t>
    <phoneticPr fontId="1" type="noConversion"/>
  </si>
  <si>
    <t>/admin/users</t>
    <phoneticPr fontId="1" type="noConversion"/>
  </si>
  <si>
    <t xml:space="preserve">
테스트 계정 정보 
1. 유저: testuser11/tteesstt11!
2. 관리자: testuser12/tteesstt12!
3. 슈퍼 관리자: testuser13/tteesstt13!
1) 아이디/비밀번호 유효값 입력 
2) [로그인] 클릭
</t>
    <phoneticPr fontId="1" type="noConversion"/>
  </si>
  <si>
    <t xml:space="preserve">
1) 현재 날짜보다 미래의 날짜(예: 2099-13-40)/120살 이상의 생년월일 입력
2) [가입하기] 클릭
</t>
    <phoneticPr fontId="1" type="noConversion"/>
  </si>
  <si>
    <t xml:space="preserve">
1) 비밀번호 찾기
2) 이름/아이디/이메일 입력
3) [확인] 클릭
</t>
    <phoneticPr fontId="1" type="noConversion"/>
  </si>
  <si>
    <t>1) 안내 페이지: '임시 비밀번호가 발급되었습니다. 등록하신 이메일로 전송했습니다.'
2) 뒤로가기 시 비밀번호 찾기 페이지로 이동</t>
    <phoneticPr fontId="1" type="noConversion"/>
  </si>
  <si>
    <t>비밀번호 찾기 - 실패</t>
    <phoneticPr fontId="1" type="noConversion"/>
  </si>
  <si>
    <t xml:space="preserve">
1) 비밀번호 찾기
2) 잘못된 이름/아이디/이메일 입력 
3) [확인] 클릭
</t>
    <phoneticPr fontId="1" type="noConversion"/>
  </si>
  <si>
    <t xml:space="preserve">
1) 정책 미충족 새 pw/확인 pw 입력
2) [확인] 클릭
</t>
    <phoneticPr fontId="1" type="noConversion"/>
  </si>
  <si>
    <t xml:space="preserve">
1) 빨간 안내: '생년월일이 올바르지 않습니다.'
</t>
    <phoneticPr fontId="1" type="noConversion"/>
  </si>
  <si>
    <t>1) 필드 하단 빨간글씨: 회원가입 시 사용되는 비밀번호 정책 적용해서 출력
2) 제출 차단</t>
    <phoneticPr fontId="1" type="noConversion"/>
  </si>
  <si>
    <t>1) 해당 아이디 포함 행만 표시
2) 전체 페이지에서 필터링
3) 우측 상단 회원 수도 필터링된 숫자에 맞게 다시 계산됨</t>
    <phoneticPr fontId="1" type="noConversion"/>
  </si>
  <si>
    <t>/media/news_seq/edit</t>
    <phoneticPr fontId="1" type="noConversion"/>
  </si>
  <si>
    <t xml:space="preserve">
검색 조건
1) 제목 키워드로 검색
2) 요약 키워드로 검색
</t>
    <phoneticPr fontId="1" type="noConversion"/>
  </si>
  <si>
    <t>1) 뉴스 상세 페이지로 이동
2) 목록 버튼 클릭</t>
    <phoneticPr fontId="1" type="noConversion"/>
  </si>
  <si>
    <t>1) 뉴스글 데이터가 정상적으로 조회되는지 확인</t>
    <phoneticPr fontId="1" type="noConversion"/>
  </si>
  <si>
    <t>1) 정상 업로드 되는지 확인
2) 업로드 후 본문 이미지가 정상적으로 표시되는지 확인</t>
    <phoneticPr fontId="1" type="noConversion"/>
  </si>
  <si>
    <t xml:space="preserve">
1) 뉴스 제목/등록일/뉴스 내용/콘텐츠 이미지 등이 정상적으로 표시됨
2) [목록] 버튼 클릭 및 뒤로가기 시 정상적으로 이동하는지 확인
</t>
    <phoneticPr fontId="1" type="noConversion"/>
  </si>
  <si>
    <t>1) 정상 업로드 되는지 확인
2) 업로드 후 썸네일이 정상적으로 표시되는지 확인</t>
    <phoneticPr fontId="1" type="noConversion"/>
  </si>
  <si>
    <t>PASS</t>
    <phoneticPr fontId="1" type="noConversion"/>
  </si>
  <si>
    <t xml:space="preserve">
테스트 Email: testuser100@gmail.com
1) 이메일 입력
2) [Email 중복확인] 클릭
</t>
    <phoneticPr fontId="1" type="noConversion"/>
  </si>
  <si>
    <t xml:space="preserve">
테스트 Email: testuser1@gmail.com
1) 이메일 입력
2) [Email 중복확인] 클릭
</t>
    <phoneticPr fontId="1" type="noConversion"/>
  </si>
  <si>
    <t xml:space="preserve">
테스트 Email: testuser100gmail.com
1) 이메일 입력
2) [Email 중복확인] 클릭
</t>
    <phoneticPr fontId="1" type="noConversion"/>
  </si>
  <si>
    <t xml:space="preserve">
테스트 Email: testuser100@daum.com
1) 이메일 입력
2) [Email 중복확인] 클릭
</t>
    <phoneticPr fontId="1" type="noConversion"/>
  </si>
  <si>
    <t xml:space="preserve">
테스트 비밀번호: abcdefg/abcdefgh
1) 정책 미충족 비밀번호 입력
2) 확인란 동일 입력
3) [가입하기] 클릭
</t>
    <phoneticPr fontId="1" type="noConversion"/>
  </si>
  <si>
    <t>1) 빨간 안내: '비밀번호는 8~16자이어야 합니다.' 
2) 빨간 안내: '영문 대/소문자/숫자/특수문자 중 3종 이상 포함해야 합니다.'</t>
    <phoneticPr fontId="1" type="noConversion"/>
  </si>
  <si>
    <t xml:space="preserve">
테스트 계정 - 이름: 테스트유저/이메일: testuser11@gmail.com
1) 이미 존재하는 이름/이메일 입력 
2) [확인] 클릭
</t>
    <phoneticPr fontId="1" type="noConversion"/>
  </si>
  <si>
    <t xml:space="preserve">
1) 결과 카드에 '가입되지 않은 사용자입니다.' 표시
2) [아이디 찾기]/[회원가입] 버튼 노출
3) 뒤로가기 시 아이디 찾기 페이지로 이동
</t>
    <phoneticPr fontId="1" type="noConversion"/>
  </si>
  <si>
    <t>service/AccountsService.java
로그인 후 비밀번호 찾기 시 등록된 이메일로 임시 비번이 전송되도록 findPassword 함수에 로직 구현</t>
    <phoneticPr fontId="1" type="noConversion"/>
  </si>
  <si>
    <t xml:space="preserve">
1) 안내 페이지: '조회결과가 없습니다.' 
2) [회원가입]/[비밀번호 변경] 버튼 노출
3) 뒤로가기 시 비밀번호 찾기 페이지로 이동
</t>
    <phoneticPr fontId="1" type="noConversion"/>
  </si>
  <si>
    <t>src/pages/AuthPage/ChangePasswordPage/ChangePasswordPage.tsx
비밀번호 변경 후 alert("비밀번호가 변경되었습니다. 다시 로그인 해주세요.")가 뜨도록 수정</t>
    <phoneticPr fontId="1" type="noConversion"/>
  </si>
  <si>
    <t>1) 필드 하단 빨간글씨: '새 비밀번호와 현재 비밀번호가 동일할 수 없습니다.'
2) 제출 차단</t>
    <phoneticPr fontId="1" type="noConversion"/>
  </si>
  <si>
    <t>1) 필드 하단 빨간글씨: '현재 비밀번호가 일치하지 않습니다.'
2) 제출 차단</t>
    <phoneticPr fontId="1" type="noConversion"/>
  </si>
  <si>
    <t>1) 로그아웃 후 Home 페이지로 이동
2) 리프레시/엑세스 토큰 삭제</t>
    <phoneticPr fontId="1" type="noConversion"/>
  </si>
  <si>
    <t>InquiryCreateRequestDto.java
db 필드명은 title이고, json 필드명은 subject라서, dto의 title 필드에 @JsonProperty("subject") 붙여줌</t>
    <phoneticPr fontId="1" type="noConversion"/>
  </si>
  <si>
    <t>문의하기 게시판에서 문의 목록이 날짜순으로 정렬되지 않는 문제가 있었음.
원인은 장고 시절 데이터는 2025-09-24 06:11:30 형태의 문자열 DATETIME으로, 스프링 전환 후 데이터는 1763444769790 와 같은 형태의 밀리초 타임스탬프로 같은 칼럼에 혼합 저장되어 있었기 때문임.
SQLite에서 서로 다른 타입이 섞인 컬럼을 정렬하면서 오래된 문자열 DATETIME이 더 큰 값으로 취급되어 최신 데이터보다 위에 노출되었음.
해결을 위해 장고 시절 문의 데이터를 삭제하여, 스프링에서 생성한 데이터만 남도록 함.</t>
    <phoneticPr fontId="1" type="noConversion"/>
  </si>
  <si>
    <t>문의하기/공개 - 이름 길이 제한</t>
    <phoneticPr fontId="1" type="noConversion"/>
  </si>
  <si>
    <t>TC_INQUIRY_017</t>
  </si>
  <si>
    <t>TC_INQUIRY_018</t>
  </si>
  <si>
    <t>문의하기/공개 - 제목 50자 초과</t>
    <phoneticPr fontId="1" type="noConversion"/>
  </si>
  <si>
    <t xml:space="preserve">
1) 제목 공란 제출
2) [제출하기] 버튼 클릭
</t>
    <phoneticPr fontId="1" type="noConversion"/>
  </si>
  <si>
    <t xml:space="preserve">
1) 제목 50자 초과 제출
2) [제출하기] 버튼 클릭
</t>
    <phoneticPr fontId="1" type="noConversion"/>
  </si>
  <si>
    <t>1) 빨간 안내: 제목 필드 하단에 '제목은 최대 50자까지 입력해주세요.'
2) 제출 차단</t>
    <phoneticPr fontId="1" type="noConversion"/>
  </si>
  <si>
    <t xml:space="preserve">
검색 조건
1) 제목 키워드 검색
2) 작성자 이름으로 검색
3) 처리상태 검색
</t>
    <phoneticPr fontId="1" type="noConversion"/>
  </si>
  <si>
    <t>1) 빨간 안내: '이름은 2자 이상 50자 이하의 한글/영문과 공백만 사용할 수 있습니다.'
2) 제출 차단</t>
    <phoneticPr fontId="1" type="noConversion"/>
  </si>
  <si>
    <t xml:space="preserve">
1) 이름 길이 제한에 맞기 않게 제출
2) [제출하기] 버튼 클릭
</t>
    <phoneticPr fontId="1" type="noConversion"/>
  </si>
  <si>
    <t>InquiriesService.java, frontend-spring/ContactForm.tsx
문의 제목 길이 제한 추가</t>
    <phoneticPr fontId="1" type="noConversion"/>
  </si>
  <si>
    <t>문의/관리자 - 목록 검색</t>
    <phoneticPr fontId="1" type="noConversion"/>
  </si>
  <si>
    <t>Inquiry.java
문의 목록 검색 시 쿼리 에러가 발생하여, 문의 엔티티의 message 필드를 @Lob 대신 @Column(name = "MESSAGE", nullable = false, columnDefinition = "TEXT") 로 변경</t>
    <phoneticPr fontId="1" type="noConversion"/>
  </si>
  <si>
    <t xml:space="preserve">
1) 최신 등록순 정렬
2) 전체/내부발표/외부발표 표시
3) 카드에 썸네일/제목/배지/등록일/요약 표시
4) 썸네일 없을 시 사전에 등록한 기본 이미지로 대체되는지 확인
</t>
    <phoneticPr fontId="1" type="noConversion"/>
  </si>
  <si>
    <t>문의 글 데이터에서와 마찬 가지로 뉴스 목록이 최신순으로 정렬되지 않는 현상이 있었음
문의 데이터에서는 기존 Django 시절 데이터들을 삭제하여, 해결했지만 뉴스 데이터에선 SQLite에서 DATETIME 형태의 PUBLISHED_AT만 선택해  DATETIME(로컬타임) -&gt; unixepoch(ms) 으로 일괄 변환하는 업데이트 쿼리를 수행해, 모든 레코드를 동일한 unixepoch(ms) 형식으로 맞춰서 해결함
sqlite 콘솔 접속 방법
1. backend-django 폴더에서 sqlite3 .\db.sqlite3 콘솔로 접속
2. SELECT FROM WHERE 등의 원하는 쿼리 실행
frontend/NewsList.tsx
기본 썸네일이 보이지 않는 문제 수정</t>
    <phoneticPr fontId="1" type="noConversion"/>
  </si>
  <si>
    <t>1) INTERNAL+EXTERNAL 카테고리 모두 목록에 표시</t>
    <phoneticPr fontId="1" type="noConversion"/>
  </si>
  <si>
    <t>뉴스/관리자 - 뉴스 단건 삭제</t>
    <phoneticPr fontId="1" type="noConversion"/>
  </si>
  <si>
    <t>뉴스/관리자 - 뉴스 여러건 삭제</t>
    <phoneticPr fontId="1" type="noConversion"/>
  </si>
  <si>
    <t xml:space="preserve">
1) 선택 후 뉴스 단건 삭제 시도
</t>
    <phoneticPr fontId="1" type="noConversion"/>
  </si>
  <si>
    <t xml:space="preserve">
1) 선택 후 뉴스 여러건 삭제 시도
</t>
    <phoneticPr fontId="1" type="noConversion"/>
  </si>
  <si>
    <t>1) alert: '1개 항목을 삭제할까요?'
2) 즉시 영구 삭제
3) 목록에서 제거되어 안보임</t>
    <phoneticPr fontId="1" type="noConversion"/>
  </si>
  <si>
    <t>1) alert: 'n개 항목을 삭제할까요?'
2) 즉시 영구 삭제
3) 목록에서 제거되어 안보임</t>
    <phoneticPr fontId="1" type="noConversion"/>
  </si>
  <si>
    <t>1) 기본 정렬: 가입 순(내림차순)으로 표시</t>
    <phoneticPr fontId="1" type="noConversion"/>
  </si>
  <si>
    <t xml:space="preserve">회원 관리 페이지에서 회원 목록 500 오류의 원인은 T_USER 테이블의 일부 BIRTH_DATE 컬럼이 YYYY-MM-DD 형식이 아닌 밀리초 숫자 문자열(예: 788886000000)로 저장되어 있었기 때문.
따라서 문제가 된 레코드의 BIRTH_DATE 값을 1990-01-01 등 유효한 YYYY-MM-DD 형식으로 수정하여 해결함 </t>
    <phoneticPr fontId="1" type="noConversion"/>
  </si>
  <si>
    <t>UserRepositoryJpaAdapter.java
회원 관리 페이지에서 검색 시 이름/아이디/역할로만 필터링되게 수정</t>
    <phoneticPr fontId="1" type="noConversion"/>
  </si>
  <si>
    <t>TC_NEWS_019</t>
  </si>
  <si>
    <t>InquiriesService.java, frontend-spring/ContactForm.tsx
문의 이름 길이 제한 추가
ContactForm.tsx
문의하기 폼에서 이메일/제목/메시지를 유효하게 입력했을 때 이름이 유효하지 않으면, 이름 필드의 에러 메시지가 메시지 필드 하단에 노출되던 문제를 수정하고, 이름 관련 에러가 항상 이름 필드 바로 아래에 표시되도록 정리함</t>
    <phoneticPr fontId="1" type="noConversion"/>
  </si>
  <si>
    <t>AccountsService.java
회원 관리 페이지에서 회원 등급으로 검색 시 필터링 되도록 isRoleWord(), extractRoleHint() 헬퍼함수 수정
AccountsService.java
회원관리 페이지에서 super admin으로 검색 시 검색이 안되는 문제 수정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</si>
</sst>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3" tint="0.24997711111789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</font>
    <font>
      <u/>
      <sz val="11"/>
      <color theme="10"/>
      <name val="맑은 고딕"/>
      <family val="2"/>
      <charset val="129"/>
      <scheme val="minor"/>
    </font>
    <font>
      <sz val="11"/>
      <color theme="4"/>
      <name val="맑은 고딕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</cellStyleXfs>
  <cellXfs count="78">
    <xf numFmtId="0" fontId="0" fillId="0" borderId="0" xfId="0">
      <alignment vertical="center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9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0" fontId="4" fillId="0" borderId="6" xfId="0" applyFont="1" applyBorder="1" applyAlignment="1" applyProtection="1">
      <alignment horizontal="left" vertical="top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4" borderId="14" xfId="0" applyFont="1" applyFill="1" applyBorder="1" applyAlignment="1" applyProtection="1">
      <alignment horizontal="left" vertical="top"/>
      <protection locked="0"/>
    </xf>
    <xf numFmtId="0" fontId="4" fillId="4" borderId="15" xfId="0" applyFont="1" applyFill="1" applyBorder="1" applyAlignment="1" applyProtection="1">
      <alignment horizontal="left" vertical="top"/>
      <protection locked="0"/>
    </xf>
    <xf numFmtId="0" fontId="0" fillId="4" borderId="15" xfId="0" applyFill="1" applyBorder="1">
      <alignment vertical="center"/>
    </xf>
    <xf numFmtId="0" fontId="5" fillId="0" borderId="10" xfId="0" applyFont="1" applyBorder="1" applyAlignment="1" applyProtection="1">
      <alignment horizontal="left" vertical="top"/>
      <protection locked="0"/>
    </xf>
    <xf numFmtId="0" fontId="5" fillId="0" borderId="7" xfId="0" applyFont="1" applyBorder="1" applyAlignment="1" applyProtection="1">
      <alignment horizontal="left" vertical="top"/>
      <protection locked="0"/>
    </xf>
    <xf numFmtId="0" fontId="5" fillId="0" borderId="13" xfId="0" applyFont="1" applyBorder="1" applyAlignment="1" applyProtection="1">
      <alignment horizontal="left" vertical="top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5" fillId="0" borderId="8" xfId="0" applyFont="1" applyBorder="1" applyAlignment="1" applyProtection="1">
      <alignment horizontal="left" vertical="top"/>
      <protection locked="0"/>
    </xf>
    <xf numFmtId="0" fontId="6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left" vertical="top"/>
      <protection locked="0"/>
    </xf>
    <xf numFmtId="0" fontId="0" fillId="0" borderId="0" xfId="0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/>
    </xf>
    <xf numFmtId="0" fontId="4" fillId="0" borderId="29" xfId="0" applyFont="1" applyBorder="1" applyAlignment="1" applyProtection="1">
      <alignment horizontal="left" vertical="top"/>
      <protection locked="0"/>
    </xf>
    <xf numFmtId="0" fontId="5" fillId="0" borderId="19" xfId="0" applyFont="1" applyBorder="1" applyAlignment="1" applyProtection="1">
      <alignment horizontal="left" vertical="top"/>
      <protection locked="0"/>
    </xf>
    <xf numFmtId="0" fontId="4" fillId="0" borderId="32" xfId="0" applyFont="1" applyBorder="1" applyAlignment="1" applyProtection="1">
      <alignment horizontal="left" vertical="top"/>
      <protection locked="0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34" xfId="0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8" fillId="0" borderId="34" xfId="0" applyFont="1" applyBorder="1" applyAlignment="1">
      <alignment vertical="center" wrapText="1"/>
    </xf>
    <xf numFmtId="0" fontId="9" fillId="0" borderId="30" xfId="3" applyBorder="1" applyAlignment="1">
      <alignment horizontal="center" vertical="center"/>
    </xf>
    <xf numFmtId="0" fontId="0" fillId="0" borderId="30" xfId="0" applyBorder="1" applyAlignment="1"/>
    <xf numFmtId="0" fontId="0" fillId="0" borderId="30" xfId="0" applyBorder="1" applyAlignment="1">
      <alignment horizontal="center" vertical="center"/>
    </xf>
    <xf numFmtId="0" fontId="9" fillId="0" borderId="12" xfId="3" applyBorder="1" applyAlignment="1">
      <alignment horizontal="center" vertical="center"/>
    </xf>
    <xf numFmtId="0" fontId="0" fillId="0" borderId="3" xfId="0" applyBorder="1" applyAlignment="1"/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/>
    <xf numFmtId="0" fontId="9" fillId="0" borderId="40" xfId="3" applyBorder="1" applyAlignment="1">
      <alignment horizontal="center" vertical="center"/>
    </xf>
    <xf numFmtId="0" fontId="0" fillId="0" borderId="31" xfId="0" applyBorder="1" applyAlignment="1"/>
    <xf numFmtId="0" fontId="0" fillId="0" borderId="33" xfId="0" applyBorder="1" applyAlignment="1"/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/>
    <xf numFmtId="0" fontId="0" fillId="0" borderId="28" xfId="0" applyBorder="1" applyAlignment="1"/>
    <xf numFmtId="0" fontId="9" fillId="0" borderId="38" xfId="3" applyBorder="1" applyAlignment="1">
      <alignment horizontal="center" vertical="center"/>
    </xf>
    <xf numFmtId="0" fontId="9" fillId="0" borderId="35" xfId="3" applyBorder="1" applyAlignment="1">
      <alignment horizontal="center" vertical="center"/>
    </xf>
    <xf numFmtId="0" fontId="0" fillId="0" borderId="35" xfId="0" applyBorder="1" applyAlignment="1"/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/>
    <xf numFmtId="0" fontId="9" fillId="0" borderId="33" xfId="3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4">
    <cellStyle name="Hyperlink" xfId="2" xr:uid="{00000000-0005-0000-0000-000002000000}"/>
    <cellStyle name="표준" xfId="0" builtinId="0"/>
    <cellStyle name="표준 2" xfId="1" xr:uid="{00000000-0005-0000-0000-000001000000}"/>
    <cellStyle name="하이퍼링크" xfId="3" builtinId="8"/>
  </cellStyles>
  <dxfs count="1">
    <dxf>
      <font>
        <b/>
      </font>
      <fill>
        <patternFill>
          <bgColor rgb="FFF2F2F2"/>
        </patternFill>
      </fill>
      <border>
        <left style="thin">
          <color theme="0" tint="-0.14990691854609822"/>
        </left>
        <right style="thin">
          <color theme="0" tint="-0.14990691854609822"/>
        </right>
        <top style="thin">
          <color theme="0" tint="-0.14990691854609822"/>
        </top>
        <bottom style="thin">
          <color theme="0" tint="-0.149906918546098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1"/>
  <sheetViews>
    <sheetView workbookViewId="0">
      <selection activeCell="A23" sqref="A23"/>
    </sheetView>
  </sheetViews>
  <sheetFormatPr defaultColWidth="9" defaultRowHeight="17.399999999999999" x14ac:dyDescent="0.4"/>
  <cols>
    <col min="1" max="1" width="22.296875" style="51" customWidth="1"/>
    <col min="2" max="2" width="16.796875" style="51" customWidth="1"/>
    <col min="3" max="3" width="24.09765625" style="51" customWidth="1"/>
    <col min="4" max="4" width="9" style="51" customWidth="1"/>
    <col min="5" max="6" width="14.296875" style="51" customWidth="1"/>
    <col min="7" max="7" width="14.09765625" style="51" customWidth="1"/>
  </cols>
  <sheetData>
    <row r="1" spans="1:7" ht="48.6" customHeight="1" thickBot="1" x14ac:dyDescent="0.45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</row>
    <row r="2" spans="1:7" ht="18" customHeight="1" thickBot="1" x14ac:dyDescent="0.45">
      <c r="A2" s="14" t="s">
        <v>7</v>
      </c>
      <c r="B2" s="6"/>
      <c r="C2" s="6"/>
      <c r="D2" s="7"/>
      <c r="E2" s="56">
        <f>HYPERLINK("#'회원가입'!A1", COUNTA(회원가입!A2:A200))</f>
        <v>14</v>
      </c>
      <c r="F2" s="58">
        <f ca="1">IFERROR(COUNTIF(INDIRECT("'" &amp; A2 &amp; "'!F2:F2000"),"PASS"),0)</f>
        <v>14</v>
      </c>
      <c r="G2" s="59">
        <f ca="1">IFERROR(COUNTIF(INDIRECT("'" &amp; A2 &amp; "'!F2:F2000"),"FAIL"),0)</f>
        <v>0</v>
      </c>
    </row>
    <row r="3" spans="1:7" ht="18" customHeight="1" thickBot="1" x14ac:dyDescent="0.45">
      <c r="A3" s="12"/>
      <c r="B3" s="1" t="s">
        <v>290</v>
      </c>
      <c r="C3" s="1" t="s">
        <v>291</v>
      </c>
      <c r="D3" s="7" t="s">
        <v>8</v>
      </c>
      <c r="E3" s="57"/>
      <c r="F3" s="57"/>
      <c r="G3" s="60"/>
    </row>
    <row r="4" spans="1:7" ht="17.55" customHeight="1" thickBot="1" x14ac:dyDescent="0.45">
      <c r="A4" s="14" t="s">
        <v>9</v>
      </c>
      <c r="B4" s="6"/>
      <c r="C4" s="6"/>
      <c r="D4" s="7"/>
      <c r="E4" s="61">
        <f>HYPERLINK("#'로그인'!A1", COUNTA(로그인!A2:A200))</f>
        <v>16</v>
      </c>
      <c r="F4" s="64">
        <f ca="1">IFERROR(COUNTIF(INDIRECT("'" &amp; A4 &amp; "'!F2:F2000"),"PASS"),0)</f>
        <v>16</v>
      </c>
      <c r="G4" s="65">
        <f ca="1">IFERROR(COUNTIF(INDIRECT("'" &amp; A4 &amp; "'!F2:F2000"),"FAIL"),0)</f>
        <v>0</v>
      </c>
    </row>
    <row r="5" spans="1:7" ht="17.55" customHeight="1" thickBot="1" x14ac:dyDescent="0.45">
      <c r="A5" s="12"/>
      <c r="B5" s="1" t="s">
        <v>292</v>
      </c>
      <c r="C5" s="1" t="s">
        <v>293</v>
      </c>
      <c r="D5" s="7" t="s">
        <v>8</v>
      </c>
      <c r="E5" s="62"/>
      <c r="F5" s="62"/>
      <c r="G5" s="66"/>
    </row>
    <row r="6" spans="1:7" ht="17.55" customHeight="1" thickBot="1" x14ac:dyDescent="0.45">
      <c r="A6" s="13"/>
      <c r="B6" s="5" t="s">
        <v>294</v>
      </c>
      <c r="C6" s="5" t="s">
        <v>295</v>
      </c>
      <c r="D6" s="7" t="s">
        <v>8</v>
      </c>
      <c r="E6" s="62"/>
      <c r="F6" s="62"/>
      <c r="G6" s="66"/>
    </row>
    <row r="7" spans="1:7" ht="17.55" customHeight="1" thickBot="1" x14ac:dyDescent="0.45">
      <c r="A7" s="13"/>
      <c r="B7" s="5" t="s">
        <v>296</v>
      </c>
      <c r="C7" s="5" t="s">
        <v>297</v>
      </c>
      <c r="D7" s="7" t="s">
        <v>8</v>
      </c>
      <c r="E7" s="62"/>
      <c r="F7" s="62"/>
      <c r="G7" s="66"/>
    </row>
    <row r="8" spans="1:7" ht="17.55" customHeight="1" thickBot="1" x14ac:dyDescent="0.45">
      <c r="A8" s="13"/>
      <c r="B8" s="5" t="s">
        <v>298</v>
      </c>
      <c r="C8" s="5" t="s">
        <v>299</v>
      </c>
      <c r="D8" s="7" t="s">
        <v>8</v>
      </c>
      <c r="E8" s="62"/>
      <c r="F8" s="62"/>
      <c r="G8" s="66"/>
    </row>
    <row r="9" spans="1:7" ht="17.55" customHeight="1" thickBot="1" x14ac:dyDescent="0.45">
      <c r="A9" s="15"/>
      <c r="B9" s="2" t="s">
        <v>300</v>
      </c>
      <c r="C9" s="2"/>
      <c r="D9" s="7" t="s">
        <v>8</v>
      </c>
      <c r="E9" s="63"/>
      <c r="F9" s="63"/>
      <c r="G9" s="67"/>
    </row>
    <row r="10" spans="1:7" ht="17.55" customHeight="1" thickBot="1" x14ac:dyDescent="0.45">
      <c r="A10" s="11" t="s">
        <v>10</v>
      </c>
      <c r="B10" s="3"/>
      <c r="C10" s="3"/>
      <c r="D10" s="4"/>
      <c r="E10" s="53">
        <f>HYPERLINK("#'문의'!A1", COUNTA(문의!A2:A202))</f>
        <v>18</v>
      </c>
      <c r="F10" s="55">
        <f ca="1">IFERROR(COUNTIF(INDIRECT("'" &amp; A10 &amp; "'!F2:F2000"),"PASS"),0)</f>
        <v>18</v>
      </c>
      <c r="G10" s="55">
        <f ca="1">IFERROR(COUNTIF(INDIRECT("'" &amp; A10 &amp; "'!F2:F2000"),"FAIL"),0)</f>
        <v>0</v>
      </c>
    </row>
    <row r="11" spans="1:7" ht="17.55" customHeight="1" thickBot="1" x14ac:dyDescent="0.45">
      <c r="A11" s="11"/>
      <c r="B11" s="3" t="s">
        <v>301</v>
      </c>
      <c r="C11" s="3" t="s">
        <v>302</v>
      </c>
      <c r="D11" s="7" t="s">
        <v>8</v>
      </c>
      <c r="E11" s="53"/>
      <c r="F11" s="55"/>
      <c r="G11" s="55"/>
    </row>
    <row r="12" spans="1:7" ht="17.55" customHeight="1" thickBot="1" x14ac:dyDescent="0.45">
      <c r="A12" s="11"/>
      <c r="B12" s="3" t="s">
        <v>303</v>
      </c>
      <c r="C12" s="3" t="s">
        <v>304</v>
      </c>
      <c r="D12" s="7" t="s">
        <v>8</v>
      </c>
      <c r="E12" s="53"/>
      <c r="F12" s="55"/>
      <c r="G12" s="55"/>
    </row>
    <row r="13" spans="1:7" ht="17.55" customHeight="1" thickBot="1" x14ac:dyDescent="0.45">
      <c r="A13" s="12"/>
      <c r="B13" s="1" t="s">
        <v>305</v>
      </c>
      <c r="C13" s="3" t="s">
        <v>306</v>
      </c>
      <c r="D13" s="7" t="s">
        <v>8</v>
      </c>
      <c r="E13" s="54"/>
      <c r="F13" s="54"/>
      <c r="G13" s="54"/>
    </row>
    <row r="14" spans="1:7" ht="17.55" customHeight="1" thickBot="1" x14ac:dyDescent="0.45">
      <c r="A14" s="14" t="s">
        <v>11</v>
      </c>
      <c r="B14" s="6"/>
      <c r="C14" s="6"/>
      <c r="D14" s="7"/>
      <c r="E14" s="68">
        <f>HYPERLINK("#'뉴스'!A1", COUNTA(뉴스!A2:A200))</f>
        <v>19</v>
      </c>
      <c r="F14" s="71">
        <f ca="1">IFERROR(COUNTIF(INDIRECT("'" &amp; A14 &amp; "'!F2:F2000"),"PASS"),0)</f>
        <v>19</v>
      </c>
      <c r="G14" s="73">
        <f ca="1">IFERROR(COUNTIF(INDIRECT("'" &amp; A14 &amp; "'!F2:F2000"),"FAIL"),0)</f>
        <v>0</v>
      </c>
    </row>
    <row r="15" spans="1:7" ht="17.55" customHeight="1" thickBot="1" x14ac:dyDescent="0.45">
      <c r="A15" s="29"/>
      <c r="B15" s="20" t="s">
        <v>308</v>
      </c>
      <c r="C15" s="20" t="s">
        <v>307</v>
      </c>
      <c r="D15" s="7" t="s">
        <v>8</v>
      </c>
      <c r="E15" s="69"/>
      <c r="F15" s="72"/>
      <c r="G15" s="74"/>
    </row>
    <row r="16" spans="1:7" ht="17.55" customHeight="1" thickBot="1" x14ac:dyDescent="0.45">
      <c r="A16" s="29"/>
      <c r="B16" s="20" t="s">
        <v>309</v>
      </c>
      <c r="C16" s="20" t="s">
        <v>312</v>
      </c>
      <c r="D16" s="7" t="s">
        <v>8</v>
      </c>
      <c r="E16" s="69"/>
      <c r="F16" s="72"/>
      <c r="G16" s="74"/>
    </row>
    <row r="17" spans="1:7" ht="17.55" customHeight="1" thickBot="1" x14ac:dyDescent="0.45">
      <c r="A17" s="29"/>
      <c r="B17" s="20" t="s">
        <v>310</v>
      </c>
      <c r="C17" s="20" t="s">
        <v>313</v>
      </c>
      <c r="D17" s="7" t="s">
        <v>8</v>
      </c>
      <c r="E17" s="69"/>
      <c r="F17" s="72"/>
      <c r="G17" s="74"/>
    </row>
    <row r="18" spans="1:7" ht="17.55" customHeight="1" thickBot="1" x14ac:dyDescent="0.45">
      <c r="A18" s="15"/>
      <c r="B18" s="2" t="s">
        <v>311</v>
      </c>
      <c r="C18" s="2" t="s">
        <v>326</v>
      </c>
      <c r="D18" s="7" t="s">
        <v>8</v>
      </c>
      <c r="E18" s="70"/>
      <c r="F18" s="70"/>
      <c r="G18" s="75"/>
    </row>
    <row r="19" spans="1:7" ht="17.55" customHeight="1" thickBot="1" x14ac:dyDescent="0.45">
      <c r="A19" s="29" t="s">
        <v>12</v>
      </c>
      <c r="B19" s="20"/>
      <c r="C19" s="30"/>
      <c r="D19" s="4"/>
      <c r="E19" s="76">
        <f>HYPERLINK("#'회원관리'!A1", COUNTA(회원관리!A2:A200))</f>
        <v>13</v>
      </c>
      <c r="F19" s="77">
        <f ca="1">IFERROR(COUNTIF(INDIRECT("'" &amp; A19 &amp; "'!F2:F2000"),"PASS"),0)</f>
        <v>13</v>
      </c>
      <c r="G19" s="77">
        <f ca="1">IFERROR(COUNTIF(INDIRECT("'" &amp; A19 &amp; "'!F2:F2000"),"FAIL"),0)</f>
        <v>0</v>
      </c>
    </row>
    <row r="20" spans="1:7" ht="17.55" customHeight="1" x14ac:dyDescent="0.4">
      <c r="A20" s="13"/>
      <c r="B20" s="5" t="s">
        <v>314</v>
      </c>
      <c r="C20" s="28" t="s">
        <v>315</v>
      </c>
      <c r="D20" s="7" t="s">
        <v>8</v>
      </c>
      <c r="E20" s="62"/>
      <c r="F20" s="62"/>
      <c r="G20" s="62"/>
    </row>
    <row r="21" spans="1:7" ht="18" customHeight="1" thickBot="1" x14ac:dyDescent="0.45">
      <c r="A21" s="8" t="s">
        <v>13</v>
      </c>
      <c r="B21" s="9"/>
      <c r="C21" s="9"/>
      <c r="D21" s="9"/>
      <c r="E21" s="10">
        <f>SUM(E2:E20)</f>
        <v>80</v>
      </c>
      <c r="F21" s="10">
        <f ca="1">SUM(F2:F20)</f>
        <v>80</v>
      </c>
      <c r="G21" s="10">
        <f ca="1">SUM(G2:G20)</f>
        <v>0</v>
      </c>
    </row>
  </sheetData>
  <autoFilter ref="A1:G21" xr:uid="{00000000-0009-0000-0000-000000000000}"/>
  <mergeCells count="15">
    <mergeCell ref="E14:E18"/>
    <mergeCell ref="F14:F18"/>
    <mergeCell ref="G14:G18"/>
    <mergeCell ref="E19:E20"/>
    <mergeCell ref="F19:F20"/>
    <mergeCell ref="G19:G20"/>
    <mergeCell ref="E10:E13"/>
    <mergeCell ref="F10:F13"/>
    <mergeCell ref="G10:G13"/>
    <mergeCell ref="E2:E3"/>
    <mergeCell ref="F2:F3"/>
    <mergeCell ref="G2:G3"/>
    <mergeCell ref="E4:E9"/>
    <mergeCell ref="F4:F9"/>
    <mergeCell ref="G4:G9"/>
  </mergeCells>
  <phoneticPr fontId="1" type="noConversion"/>
  <conditionalFormatting sqref="A2:D21">
    <cfRule type="expression" dxfId="0" priority="2">
      <formula>($B2="G")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Normal="100" workbookViewId="0">
      <pane ySplit="1" topLeftCell="A2" activePane="bottomLeft" state="frozen"/>
      <selection activeCell="D24" sqref="D24"/>
      <selection pane="bottomLeft" activeCell="D7" sqref="D7"/>
    </sheetView>
  </sheetViews>
  <sheetFormatPr defaultRowHeight="17.399999999999999" x14ac:dyDescent="0.4"/>
  <cols>
    <col min="1" max="1" width="19.19921875" style="51" bestFit="1" customWidth="1"/>
    <col min="2" max="2" width="14.796875" style="51" customWidth="1"/>
    <col min="3" max="3" width="14.09765625" style="51" customWidth="1"/>
    <col min="4" max="5" width="60.59765625" style="51" customWidth="1"/>
    <col min="6" max="6" width="13" style="21" customWidth="1"/>
    <col min="7" max="7" width="17.09765625" style="21" customWidth="1"/>
    <col min="8" max="8" width="28.69921875" style="51" customWidth="1"/>
  </cols>
  <sheetData>
    <row r="1" spans="1:8" ht="70.95" customHeight="1" thickBot="1" x14ac:dyDescent="0.45">
      <c r="A1" s="16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8" t="s">
        <v>21</v>
      </c>
    </row>
    <row r="2" spans="1:8" ht="105" customHeight="1" thickBot="1" x14ac:dyDescent="0.45">
      <c r="A2" s="27" t="s">
        <v>22</v>
      </c>
      <c r="B2" s="35" t="s">
        <v>23</v>
      </c>
      <c r="C2" s="27" t="s">
        <v>8</v>
      </c>
      <c r="D2" s="33" t="s">
        <v>24</v>
      </c>
      <c r="E2" s="25" t="s">
        <v>25</v>
      </c>
      <c r="F2" s="19" t="s">
        <v>333</v>
      </c>
      <c r="G2" s="42">
        <v>45978</v>
      </c>
      <c r="H2" s="48"/>
    </row>
    <row r="3" spans="1:8" ht="87.6" customHeight="1" thickBot="1" x14ac:dyDescent="0.45">
      <c r="A3" s="27" t="s">
        <v>26</v>
      </c>
      <c r="B3" s="36" t="s">
        <v>27</v>
      </c>
      <c r="C3" s="27" t="s">
        <v>8</v>
      </c>
      <c r="D3" s="34" t="s">
        <v>28</v>
      </c>
      <c r="E3" s="26" t="s">
        <v>29</v>
      </c>
      <c r="F3" s="19" t="s">
        <v>333</v>
      </c>
      <c r="G3" s="42">
        <v>45978</v>
      </c>
      <c r="H3" s="47"/>
    </row>
    <row r="4" spans="1:8" ht="87.6" customHeight="1" thickBot="1" x14ac:dyDescent="0.45">
      <c r="A4" s="27" t="s">
        <v>30</v>
      </c>
      <c r="B4" s="36" t="s">
        <v>31</v>
      </c>
      <c r="C4" s="27" t="s">
        <v>8</v>
      </c>
      <c r="D4" s="34" t="s">
        <v>32</v>
      </c>
      <c r="E4" s="26" t="s">
        <v>33</v>
      </c>
      <c r="F4" s="19" t="s">
        <v>333</v>
      </c>
      <c r="G4" s="42">
        <v>45978</v>
      </c>
      <c r="H4" s="47"/>
    </row>
    <row r="5" spans="1:8" ht="87.6" customHeight="1" thickBot="1" x14ac:dyDescent="0.45">
      <c r="A5" s="27" t="s">
        <v>34</v>
      </c>
      <c r="B5" s="36" t="s">
        <v>35</v>
      </c>
      <c r="C5" s="27" t="s">
        <v>8</v>
      </c>
      <c r="D5" s="26" t="s">
        <v>36</v>
      </c>
      <c r="E5" s="26" t="s">
        <v>37</v>
      </c>
      <c r="F5" s="19" t="s">
        <v>333</v>
      </c>
      <c r="G5" s="42">
        <v>45978</v>
      </c>
      <c r="H5" s="47"/>
    </row>
    <row r="6" spans="1:8" ht="87.6" customHeight="1" thickBot="1" x14ac:dyDescent="0.45">
      <c r="A6" s="27" t="s">
        <v>38</v>
      </c>
      <c r="B6" s="36" t="s">
        <v>39</v>
      </c>
      <c r="C6" s="27" t="s">
        <v>8</v>
      </c>
      <c r="D6" s="26" t="s">
        <v>334</v>
      </c>
      <c r="E6" s="26" t="s">
        <v>40</v>
      </c>
      <c r="F6" s="19" t="s">
        <v>333</v>
      </c>
      <c r="G6" s="42">
        <v>45978</v>
      </c>
      <c r="H6" s="47"/>
    </row>
    <row r="7" spans="1:8" ht="87.6" customHeight="1" thickBot="1" x14ac:dyDescent="0.45">
      <c r="A7" s="27" t="s">
        <v>41</v>
      </c>
      <c r="B7" s="36" t="s">
        <v>42</v>
      </c>
      <c r="C7" s="27" t="s">
        <v>8</v>
      </c>
      <c r="D7" s="26" t="s">
        <v>335</v>
      </c>
      <c r="E7" s="26" t="s">
        <v>43</v>
      </c>
      <c r="F7" s="19" t="s">
        <v>333</v>
      </c>
      <c r="G7" s="42">
        <v>45978</v>
      </c>
      <c r="H7" s="47"/>
    </row>
    <row r="8" spans="1:8" ht="87.6" customHeight="1" thickBot="1" x14ac:dyDescent="0.45">
      <c r="A8" s="27" t="s">
        <v>44</v>
      </c>
      <c r="B8" s="36" t="s">
        <v>45</v>
      </c>
      <c r="C8" s="27" t="s">
        <v>8</v>
      </c>
      <c r="D8" s="26" t="s">
        <v>336</v>
      </c>
      <c r="E8" s="26" t="s">
        <v>46</v>
      </c>
      <c r="F8" s="19" t="s">
        <v>333</v>
      </c>
      <c r="G8" s="42">
        <v>45978</v>
      </c>
      <c r="H8" s="47"/>
    </row>
    <row r="9" spans="1:8" ht="87.6" customHeight="1" thickBot="1" x14ac:dyDescent="0.45">
      <c r="A9" s="27" t="s">
        <v>47</v>
      </c>
      <c r="B9" s="36" t="s">
        <v>48</v>
      </c>
      <c r="C9" s="27" t="s">
        <v>8</v>
      </c>
      <c r="D9" s="26" t="s">
        <v>337</v>
      </c>
      <c r="E9" s="26" t="s">
        <v>49</v>
      </c>
      <c r="F9" s="19" t="s">
        <v>333</v>
      </c>
      <c r="G9" s="42">
        <v>45978</v>
      </c>
      <c r="H9" s="47"/>
    </row>
    <row r="10" spans="1:8" ht="105" customHeight="1" thickBot="1" x14ac:dyDescent="0.45">
      <c r="A10" s="27" t="s">
        <v>50</v>
      </c>
      <c r="B10" s="36" t="s">
        <v>51</v>
      </c>
      <c r="C10" s="27" t="s">
        <v>8</v>
      </c>
      <c r="D10" s="26" t="s">
        <v>338</v>
      </c>
      <c r="E10" s="26" t="s">
        <v>339</v>
      </c>
      <c r="F10" s="19" t="s">
        <v>333</v>
      </c>
      <c r="G10" s="42">
        <v>45978</v>
      </c>
      <c r="H10" s="47"/>
    </row>
    <row r="11" spans="1:8" ht="70.2" customHeight="1" thickBot="1" x14ac:dyDescent="0.45">
      <c r="A11" s="27" t="s">
        <v>52</v>
      </c>
      <c r="B11" s="36" t="s">
        <v>53</v>
      </c>
      <c r="C11" s="27" t="s">
        <v>8</v>
      </c>
      <c r="D11" s="26" t="s">
        <v>54</v>
      </c>
      <c r="E11" s="26" t="s">
        <v>55</v>
      </c>
      <c r="F11" s="19" t="s">
        <v>333</v>
      </c>
      <c r="G11" s="42">
        <v>45978</v>
      </c>
      <c r="H11" s="47"/>
    </row>
    <row r="12" spans="1:8" ht="87.6" customHeight="1" thickBot="1" x14ac:dyDescent="0.45">
      <c r="A12" s="27" t="s">
        <v>56</v>
      </c>
      <c r="B12" s="36" t="s">
        <v>57</v>
      </c>
      <c r="C12" s="27" t="s">
        <v>8</v>
      </c>
      <c r="D12" s="26" t="s">
        <v>58</v>
      </c>
      <c r="E12" s="26" t="s">
        <v>59</v>
      </c>
      <c r="F12" s="19" t="s">
        <v>333</v>
      </c>
      <c r="G12" s="42">
        <v>45978</v>
      </c>
      <c r="H12" s="47"/>
    </row>
    <row r="13" spans="1:8" ht="70.2" customHeight="1" thickBot="1" x14ac:dyDescent="0.45">
      <c r="A13" s="27" t="s">
        <v>60</v>
      </c>
      <c r="B13" s="36" t="s">
        <v>61</v>
      </c>
      <c r="C13" s="27" t="s">
        <v>8</v>
      </c>
      <c r="D13" s="26" t="s">
        <v>62</v>
      </c>
      <c r="E13" s="26" t="s">
        <v>63</v>
      </c>
      <c r="F13" s="19" t="s">
        <v>333</v>
      </c>
      <c r="G13" s="42">
        <v>45978</v>
      </c>
      <c r="H13" s="47"/>
    </row>
    <row r="14" spans="1:8" ht="87.6" customHeight="1" thickBot="1" x14ac:dyDescent="0.45">
      <c r="A14" s="27" t="s">
        <v>64</v>
      </c>
      <c r="B14" s="36" t="s">
        <v>65</v>
      </c>
      <c r="C14" s="27" t="s">
        <v>8</v>
      </c>
      <c r="D14" s="26" t="s">
        <v>317</v>
      </c>
      <c r="E14" s="26" t="s">
        <v>323</v>
      </c>
      <c r="F14" s="19" t="s">
        <v>333</v>
      </c>
      <c r="G14" s="42">
        <v>45978</v>
      </c>
      <c r="H14" s="33"/>
    </row>
    <row r="15" spans="1:8" ht="69.599999999999994" customHeight="1" x14ac:dyDescent="0.4">
      <c r="A15" s="27" t="s">
        <v>66</v>
      </c>
      <c r="B15" s="36" t="s">
        <v>67</v>
      </c>
      <c r="C15" s="27" t="s">
        <v>8</v>
      </c>
      <c r="D15" s="26" t="s">
        <v>68</v>
      </c>
      <c r="E15" s="26" t="s">
        <v>69</v>
      </c>
      <c r="F15" s="19" t="s">
        <v>333</v>
      </c>
      <c r="G15" s="42">
        <v>45978</v>
      </c>
      <c r="H15" s="47"/>
    </row>
  </sheetData>
  <autoFilter ref="A1:H1" xr:uid="{00000000-0009-0000-0000-000001000000}"/>
  <phoneticPr fontId="1" type="noConversion"/>
  <dataValidations count="1">
    <dataValidation type="list" allowBlank="1" showInputMessage="1" showErrorMessage="1" sqref="F2:F15" xr:uid="{00000000-0002-0000-0100-000000000000}">
      <formula1>"PASS,FAIL,N/A"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Normal="100" workbookViewId="0">
      <pane ySplit="1" topLeftCell="A17" activePane="bottomLeft" state="frozen"/>
      <selection activeCell="D24" sqref="D24"/>
      <selection pane="bottomLeft" activeCell="E17" sqref="E17"/>
    </sheetView>
  </sheetViews>
  <sheetFormatPr defaultRowHeight="17.399999999999999" x14ac:dyDescent="0.4"/>
  <cols>
    <col min="1" max="1" width="19.19921875" style="51" bestFit="1" customWidth="1"/>
    <col min="2" max="2" width="14.796875" style="51" customWidth="1"/>
    <col min="3" max="3" width="14.09765625" style="51" customWidth="1"/>
    <col min="4" max="5" width="60.59765625" style="51" customWidth="1"/>
    <col min="6" max="6" width="13" style="21" customWidth="1"/>
    <col min="7" max="7" width="17.09765625" style="41" customWidth="1"/>
    <col min="8" max="8" width="28.69921875" style="51" customWidth="1"/>
  </cols>
  <sheetData>
    <row r="1" spans="1:8" ht="70.95" customHeight="1" x14ac:dyDescent="0.4">
      <c r="A1" s="16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40" t="s">
        <v>20</v>
      </c>
      <c r="H1" s="18" t="s">
        <v>21</v>
      </c>
    </row>
    <row r="2" spans="1:8" ht="157.19999999999999" customHeight="1" thickBot="1" x14ac:dyDescent="0.45">
      <c r="A2" s="27" t="s">
        <v>70</v>
      </c>
      <c r="B2" s="27" t="s">
        <v>71</v>
      </c>
      <c r="C2" s="27" t="s">
        <v>8</v>
      </c>
      <c r="D2" s="25" t="s">
        <v>316</v>
      </c>
      <c r="E2" s="25" t="s">
        <v>72</v>
      </c>
      <c r="F2" s="19" t="s">
        <v>333</v>
      </c>
      <c r="G2" s="42">
        <v>45978</v>
      </c>
      <c r="H2" s="45"/>
    </row>
    <row r="3" spans="1:8" ht="70.2" customHeight="1" thickBot="1" x14ac:dyDescent="0.45">
      <c r="A3" s="27" t="s">
        <v>73</v>
      </c>
      <c r="B3" s="36" t="s">
        <v>74</v>
      </c>
      <c r="C3" s="27" t="s">
        <v>8</v>
      </c>
      <c r="D3" s="25" t="s">
        <v>75</v>
      </c>
      <c r="E3" s="26" t="s">
        <v>76</v>
      </c>
      <c r="F3" s="19" t="s">
        <v>333</v>
      </c>
      <c r="G3" s="42">
        <v>45978</v>
      </c>
      <c r="H3" s="47"/>
    </row>
    <row r="4" spans="1:8" ht="70.2" customHeight="1" thickBot="1" x14ac:dyDescent="0.45">
      <c r="A4" s="27" t="s">
        <v>77</v>
      </c>
      <c r="B4" s="36" t="s">
        <v>78</v>
      </c>
      <c r="C4" s="27" t="s">
        <v>8</v>
      </c>
      <c r="D4" s="25" t="s">
        <v>79</v>
      </c>
      <c r="E4" s="26" t="s">
        <v>80</v>
      </c>
      <c r="F4" s="19" t="s">
        <v>333</v>
      </c>
      <c r="G4" s="42">
        <v>45978</v>
      </c>
      <c r="H4" s="47"/>
    </row>
    <row r="5" spans="1:8" ht="70.2" customHeight="1" thickBot="1" x14ac:dyDescent="0.45">
      <c r="A5" s="27" t="s">
        <v>81</v>
      </c>
      <c r="B5" s="36" t="s">
        <v>82</v>
      </c>
      <c r="C5" s="27" t="s">
        <v>8</v>
      </c>
      <c r="D5" s="25" t="s">
        <v>83</v>
      </c>
      <c r="E5" s="26" t="s">
        <v>84</v>
      </c>
      <c r="F5" s="19" t="s">
        <v>333</v>
      </c>
      <c r="G5" s="42">
        <v>45978</v>
      </c>
      <c r="H5" s="46"/>
    </row>
    <row r="6" spans="1:8" ht="87.6" customHeight="1" thickBot="1" x14ac:dyDescent="0.45">
      <c r="A6" s="27" t="s">
        <v>85</v>
      </c>
      <c r="B6" s="36" t="s">
        <v>86</v>
      </c>
      <c r="C6" s="27" t="s">
        <v>8</v>
      </c>
      <c r="D6" s="26" t="s">
        <v>340</v>
      </c>
      <c r="E6" s="26" t="s">
        <v>87</v>
      </c>
      <c r="F6" s="19" t="s">
        <v>333</v>
      </c>
      <c r="G6" s="42">
        <v>45978</v>
      </c>
      <c r="H6" s="46"/>
    </row>
    <row r="7" spans="1:8" ht="87.6" customHeight="1" thickBot="1" x14ac:dyDescent="0.45">
      <c r="A7" s="27" t="s">
        <v>88</v>
      </c>
      <c r="B7" s="36" t="s">
        <v>89</v>
      </c>
      <c r="C7" s="27" t="s">
        <v>8</v>
      </c>
      <c r="D7" s="26" t="s">
        <v>90</v>
      </c>
      <c r="E7" s="26" t="s">
        <v>341</v>
      </c>
      <c r="F7" s="19" t="s">
        <v>333</v>
      </c>
      <c r="G7" s="42">
        <v>45978</v>
      </c>
      <c r="H7" s="46"/>
    </row>
    <row r="8" spans="1:8" ht="105" customHeight="1" thickBot="1" x14ac:dyDescent="0.45">
      <c r="A8" s="27" t="s">
        <v>91</v>
      </c>
      <c r="B8" s="36" t="s">
        <v>92</v>
      </c>
      <c r="C8" s="27" t="s">
        <v>8</v>
      </c>
      <c r="D8" s="26" t="s">
        <v>93</v>
      </c>
      <c r="E8" s="26" t="s">
        <v>94</v>
      </c>
      <c r="F8" s="19" t="s">
        <v>333</v>
      </c>
      <c r="G8" s="42">
        <v>45978</v>
      </c>
      <c r="H8" s="46"/>
    </row>
    <row r="9" spans="1:8" ht="139.80000000000001" customHeight="1" thickBot="1" x14ac:dyDescent="0.45">
      <c r="A9" s="27" t="s">
        <v>95</v>
      </c>
      <c r="B9" s="36" t="s">
        <v>96</v>
      </c>
      <c r="C9" s="27" t="s">
        <v>8</v>
      </c>
      <c r="D9" s="26" t="s">
        <v>318</v>
      </c>
      <c r="E9" s="26" t="s">
        <v>319</v>
      </c>
      <c r="F9" s="19" t="s">
        <v>333</v>
      </c>
      <c r="G9" s="42">
        <v>45978</v>
      </c>
      <c r="H9" s="47" t="s">
        <v>342</v>
      </c>
    </row>
    <row r="10" spans="1:8" ht="87.6" customHeight="1" thickBot="1" x14ac:dyDescent="0.45">
      <c r="A10" s="27" t="s">
        <v>97</v>
      </c>
      <c r="B10" s="36" t="s">
        <v>320</v>
      </c>
      <c r="C10" s="27" t="s">
        <v>8</v>
      </c>
      <c r="D10" s="26" t="s">
        <v>321</v>
      </c>
      <c r="E10" s="26" t="s">
        <v>343</v>
      </c>
      <c r="F10" s="19" t="s">
        <v>333</v>
      </c>
      <c r="G10" s="42">
        <v>45978</v>
      </c>
      <c r="H10" s="25"/>
    </row>
    <row r="11" spans="1:8" ht="52.8" customHeight="1" thickBot="1" x14ac:dyDescent="0.45">
      <c r="A11" s="27" t="s">
        <v>98</v>
      </c>
      <c r="B11" s="36" t="s">
        <v>99</v>
      </c>
      <c r="C11" s="27" t="s">
        <v>8</v>
      </c>
      <c r="D11" s="26" t="s">
        <v>100</v>
      </c>
      <c r="E11" s="26" t="s">
        <v>101</v>
      </c>
      <c r="F11" s="19" t="s">
        <v>333</v>
      </c>
      <c r="G11" s="42">
        <v>45978</v>
      </c>
      <c r="H11" s="25"/>
    </row>
    <row r="12" spans="1:8" ht="70.2" customHeight="1" thickBot="1" x14ac:dyDescent="0.45">
      <c r="A12" s="27" t="s">
        <v>102</v>
      </c>
      <c r="B12" s="36" t="s">
        <v>103</v>
      </c>
      <c r="C12" s="27" t="s">
        <v>8</v>
      </c>
      <c r="D12" s="49" t="s">
        <v>104</v>
      </c>
      <c r="E12" s="49" t="s">
        <v>105</v>
      </c>
      <c r="F12" s="19" t="s">
        <v>333</v>
      </c>
      <c r="G12" s="42">
        <v>45978</v>
      </c>
      <c r="H12" s="25" t="s">
        <v>344</v>
      </c>
    </row>
    <row r="13" spans="1:8" ht="87.6" customHeight="1" thickBot="1" x14ac:dyDescent="0.45">
      <c r="A13" s="27" t="s">
        <v>106</v>
      </c>
      <c r="B13" s="36" t="s">
        <v>107</v>
      </c>
      <c r="C13" s="27" t="s">
        <v>8</v>
      </c>
      <c r="D13" s="49" t="s">
        <v>108</v>
      </c>
      <c r="E13" s="49" t="s">
        <v>346</v>
      </c>
      <c r="F13" s="19" t="s">
        <v>333</v>
      </c>
      <c r="G13" s="42">
        <v>45978</v>
      </c>
      <c r="H13" s="25"/>
    </row>
    <row r="14" spans="1:8" ht="70.2" customHeight="1" thickBot="1" x14ac:dyDescent="0.45">
      <c r="A14" s="27" t="s">
        <v>109</v>
      </c>
      <c r="B14" s="36" t="s">
        <v>110</v>
      </c>
      <c r="C14" s="27" t="s">
        <v>8</v>
      </c>
      <c r="D14" s="49" t="s">
        <v>111</v>
      </c>
      <c r="E14" s="49" t="s">
        <v>345</v>
      </c>
      <c r="F14" s="19" t="s">
        <v>333</v>
      </c>
      <c r="G14" s="42">
        <v>45978</v>
      </c>
      <c r="H14" s="25"/>
    </row>
    <row r="15" spans="1:8" ht="70.2" customHeight="1" thickBot="1" x14ac:dyDescent="0.45">
      <c r="A15" s="27" t="s">
        <v>112</v>
      </c>
      <c r="B15" s="36" t="s">
        <v>113</v>
      </c>
      <c r="C15" s="27" t="s">
        <v>8</v>
      </c>
      <c r="D15" s="49" t="s">
        <v>322</v>
      </c>
      <c r="E15" s="49" t="s">
        <v>324</v>
      </c>
      <c r="F15" s="19" t="s">
        <v>333</v>
      </c>
      <c r="G15" s="42">
        <v>45978</v>
      </c>
      <c r="H15" s="25"/>
    </row>
    <row r="16" spans="1:8" ht="70.2" customHeight="1" thickBot="1" x14ac:dyDescent="0.45">
      <c r="A16" s="27" t="s">
        <v>114</v>
      </c>
      <c r="B16" s="36" t="s">
        <v>115</v>
      </c>
      <c r="C16" s="27" t="s">
        <v>8</v>
      </c>
      <c r="D16" s="49" t="s">
        <v>116</v>
      </c>
      <c r="E16" s="49" t="s">
        <v>117</v>
      </c>
      <c r="F16" s="19" t="s">
        <v>333</v>
      </c>
      <c r="G16" s="42">
        <v>45978</v>
      </c>
      <c r="H16" s="25"/>
    </row>
    <row r="17" spans="1:8" ht="52.2" customHeight="1" x14ac:dyDescent="0.4">
      <c r="A17" s="27" t="s">
        <v>118</v>
      </c>
      <c r="B17" s="36" t="s">
        <v>119</v>
      </c>
      <c r="C17" s="27" t="s">
        <v>8</v>
      </c>
      <c r="D17" s="49" t="s">
        <v>120</v>
      </c>
      <c r="E17" s="49" t="s">
        <v>347</v>
      </c>
      <c r="F17" s="19" t="s">
        <v>333</v>
      </c>
      <c r="G17" s="42">
        <v>45978</v>
      </c>
      <c r="H17" s="25"/>
    </row>
  </sheetData>
  <autoFilter ref="A1:H1" xr:uid="{00000000-0009-0000-0000-000002000000}"/>
  <phoneticPr fontId="1" type="noConversion"/>
  <dataValidations count="1">
    <dataValidation type="list" allowBlank="1" showInputMessage="1" showErrorMessage="1" sqref="F2:F17" xr:uid="{00000000-0002-0000-0200-000000000000}">
      <formula1>"PASS,FAIL,N/A"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Normal="100" workbookViewId="0">
      <pane ySplit="1" topLeftCell="A20" activePane="bottomLeft" state="frozen"/>
      <selection activeCell="D24" sqref="D24"/>
      <selection pane="bottomLeft"/>
    </sheetView>
  </sheetViews>
  <sheetFormatPr defaultRowHeight="17.399999999999999" x14ac:dyDescent="0.4"/>
  <cols>
    <col min="1" max="1" width="19.19921875" style="51" bestFit="1" customWidth="1"/>
    <col min="2" max="2" width="14.796875" style="51" customWidth="1"/>
    <col min="3" max="3" width="14.09765625" style="51" customWidth="1"/>
    <col min="4" max="5" width="60.59765625" style="51" customWidth="1"/>
    <col min="6" max="6" width="13" style="21" customWidth="1"/>
    <col min="7" max="7" width="17.09765625" style="21" customWidth="1"/>
    <col min="8" max="8" width="28.69921875" style="51" customWidth="1"/>
  </cols>
  <sheetData>
    <row r="1" spans="1:8" ht="70.95" customHeight="1" x14ac:dyDescent="0.4">
      <c r="A1" s="16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8" t="s">
        <v>21</v>
      </c>
    </row>
    <row r="2" spans="1:8" ht="70.2" customHeight="1" thickBot="1" x14ac:dyDescent="0.45">
      <c r="A2" s="27" t="s">
        <v>121</v>
      </c>
      <c r="B2" s="35" t="s">
        <v>122</v>
      </c>
      <c r="C2" s="27" t="s">
        <v>8</v>
      </c>
      <c r="D2" s="33" t="s">
        <v>123</v>
      </c>
      <c r="E2" s="25" t="s">
        <v>124</v>
      </c>
      <c r="F2" s="19" t="s">
        <v>333</v>
      </c>
      <c r="G2" s="42">
        <v>45979</v>
      </c>
      <c r="H2" s="52" t="s">
        <v>348</v>
      </c>
    </row>
    <row r="3" spans="1:8" ht="70.2" customHeight="1" thickBot="1" x14ac:dyDescent="0.45">
      <c r="A3" s="27" t="s">
        <v>125</v>
      </c>
      <c r="B3" s="35" t="s">
        <v>126</v>
      </c>
      <c r="C3" s="27" t="s">
        <v>8</v>
      </c>
      <c r="D3" s="33" t="s">
        <v>127</v>
      </c>
      <c r="E3" s="26" t="s">
        <v>128</v>
      </c>
      <c r="F3" s="19" t="s">
        <v>333</v>
      </c>
      <c r="G3" s="42">
        <v>45979</v>
      </c>
      <c r="H3" s="37"/>
    </row>
    <row r="4" spans="1:8" ht="70.2" customHeight="1" thickBot="1" x14ac:dyDescent="0.45">
      <c r="A4" s="27" t="s">
        <v>129</v>
      </c>
      <c r="B4" s="35" t="s">
        <v>350</v>
      </c>
      <c r="C4" s="27" t="s">
        <v>8</v>
      </c>
      <c r="D4" s="33" t="s">
        <v>359</v>
      </c>
      <c r="E4" s="26" t="s">
        <v>358</v>
      </c>
      <c r="F4" s="19" t="s">
        <v>333</v>
      </c>
      <c r="G4" s="42">
        <v>45979</v>
      </c>
      <c r="H4" s="52" t="s">
        <v>376</v>
      </c>
    </row>
    <row r="5" spans="1:8" ht="70.2" customHeight="1" thickBot="1" x14ac:dyDescent="0.45">
      <c r="A5" s="27" t="s">
        <v>133</v>
      </c>
      <c r="B5" s="35" t="s">
        <v>130</v>
      </c>
      <c r="C5" s="27" t="s">
        <v>8</v>
      </c>
      <c r="D5" s="33" t="s">
        <v>131</v>
      </c>
      <c r="E5" s="26" t="s">
        <v>132</v>
      </c>
      <c r="F5" s="19" t="s">
        <v>333</v>
      </c>
      <c r="G5" s="42">
        <v>45979</v>
      </c>
      <c r="H5" s="37"/>
    </row>
    <row r="6" spans="1:8" ht="70.2" customHeight="1" thickBot="1" x14ac:dyDescent="0.45">
      <c r="A6" s="27" t="s">
        <v>137</v>
      </c>
      <c r="B6" s="35" t="s">
        <v>134</v>
      </c>
      <c r="C6" s="27" t="s">
        <v>8</v>
      </c>
      <c r="D6" s="33" t="s">
        <v>135</v>
      </c>
      <c r="E6" s="26" t="s">
        <v>136</v>
      </c>
      <c r="F6" s="19" t="s">
        <v>333</v>
      </c>
      <c r="G6" s="42">
        <v>45979</v>
      </c>
      <c r="H6" s="37"/>
    </row>
    <row r="7" spans="1:8" ht="70.2" customHeight="1" thickBot="1" x14ac:dyDescent="0.45">
      <c r="A7" s="27" t="s">
        <v>140</v>
      </c>
      <c r="B7" s="35" t="s">
        <v>138</v>
      </c>
      <c r="C7" s="27" t="s">
        <v>8</v>
      </c>
      <c r="D7" s="33" t="s">
        <v>354</v>
      </c>
      <c r="E7" s="26" t="s">
        <v>139</v>
      </c>
      <c r="F7" s="19" t="s">
        <v>333</v>
      </c>
      <c r="G7" s="42">
        <v>45979</v>
      </c>
      <c r="H7" s="37"/>
    </row>
    <row r="8" spans="1:8" ht="70.2" customHeight="1" thickBot="1" x14ac:dyDescent="0.45">
      <c r="A8" s="27" t="s">
        <v>144</v>
      </c>
      <c r="B8" s="35" t="s">
        <v>353</v>
      </c>
      <c r="C8" s="27" t="s">
        <v>8</v>
      </c>
      <c r="D8" s="33" t="s">
        <v>355</v>
      </c>
      <c r="E8" s="26" t="s">
        <v>356</v>
      </c>
      <c r="F8" s="19" t="s">
        <v>333</v>
      </c>
      <c r="G8" s="42">
        <v>45979</v>
      </c>
      <c r="H8" s="52" t="s">
        <v>360</v>
      </c>
    </row>
    <row r="9" spans="1:8" ht="70.2" customHeight="1" thickBot="1" x14ac:dyDescent="0.45">
      <c r="A9" s="27" t="s">
        <v>148</v>
      </c>
      <c r="B9" s="35" t="s">
        <v>141</v>
      </c>
      <c r="C9" s="27" t="s">
        <v>8</v>
      </c>
      <c r="D9" s="33" t="s">
        <v>142</v>
      </c>
      <c r="E9" s="26" t="s">
        <v>143</v>
      </c>
      <c r="F9" s="19" t="s">
        <v>333</v>
      </c>
      <c r="G9" s="42">
        <v>45979</v>
      </c>
      <c r="H9" s="37"/>
    </row>
    <row r="10" spans="1:8" ht="70.2" customHeight="1" thickBot="1" x14ac:dyDescent="0.45">
      <c r="A10" s="27" t="s">
        <v>152</v>
      </c>
      <c r="B10" s="35" t="s">
        <v>145</v>
      </c>
      <c r="C10" s="27" t="s">
        <v>8</v>
      </c>
      <c r="D10" s="26" t="s">
        <v>146</v>
      </c>
      <c r="E10" s="26" t="s">
        <v>147</v>
      </c>
      <c r="F10" s="19" t="s">
        <v>333</v>
      </c>
      <c r="G10" s="42">
        <v>45979</v>
      </c>
      <c r="H10" s="37"/>
    </row>
    <row r="11" spans="1:8" ht="70.2" customHeight="1" thickBot="1" x14ac:dyDescent="0.45">
      <c r="A11" s="27" t="s">
        <v>156</v>
      </c>
      <c r="B11" s="35" t="s">
        <v>149</v>
      </c>
      <c r="C11" s="27" t="s">
        <v>8</v>
      </c>
      <c r="D11" s="26" t="s">
        <v>150</v>
      </c>
      <c r="E11" s="26" t="s">
        <v>151</v>
      </c>
      <c r="F11" s="19" t="s">
        <v>333</v>
      </c>
      <c r="G11" s="42">
        <v>45979</v>
      </c>
      <c r="H11" s="37"/>
    </row>
    <row r="12" spans="1:8" ht="70.2" customHeight="1" thickBot="1" x14ac:dyDescent="0.45">
      <c r="A12" s="27" t="s">
        <v>160</v>
      </c>
      <c r="B12" s="35" t="s">
        <v>153</v>
      </c>
      <c r="C12" s="27" t="s">
        <v>8</v>
      </c>
      <c r="D12" s="26" t="s">
        <v>154</v>
      </c>
      <c r="E12" s="26" t="s">
        <v>155</v>
      </c>
      <c r="F12" s="19" t="s">
        <v>333</v>
      </c>
      <c r="G12" s="42">
        <v>45979</v>
      </c>
      <c r="H12" s="37"/>
    </row>
    <row r="13" spans="1:8" ht="87.6" customHeight="1" thickBot="1" x14ac:dyDescent="0.45">
      <c r="A13" s="27" t="s">
        <v>162</v>
      </c>
      <c r="B13" s="35" t="s">
        <v>157</v>
      </c>
      <c r="C13" s="27" t="s">
        <v>8</v>
      </c>
      <c r="D13" s="26" t="s">
        <v>158</v>
      </c>
      <c r="E13" s="26" t="s">
        <v>159</v>
      </c>
      <c r="F13" s="19" t="s">
        <v>333</v>
      </c>
      <c r="G13" s="42">
        <v>45979</v>
      </c>
      <c r="H13" s="52" t="s">
        <v>349</v>
      </c>
    </row>
    <row r="14" spans="1:8" ht="105" customHeight="1" thickBot="1" x14ac:dyDescent="0.45">
      <c r="A14" s="27" t="s">
        <v>166</v>
      </c>
      <c r="B14" s="35" t="s">
        <v>361</v>
      </c>
      <c r="C14" s="27" t="s">
        <v>8</v>
      </c>
      <c r="D14" s="26" t="s">
        <v>357</v>
      </c>
      <c r="E14" s="26" t="s">
        <v>161</v>
      </c>
      <c r="F14" s="19" t="s">
        <v>333</v>
      </c>
      <c r="G14" s="42">
        <v>45980</v>
      </c>
      <c r="H14" s="52" t="s">
        <v>362</v>
      </c>
    </row>
    <row r="15" spans="1:8" ht="52.8" customHeight="1" thickBot="1" x14ac:dyDescent="0.45">
      <c r="A15" s="27" t="s">
        <v>170</v>
      </c>
      <c r="B15" s="35" t="s">
        <v>163</v>
      </c>
      <c r="C15" s="27" t="s">
        <v>8</v>
      </c>
      <c r="D15" s="26" t="s">
        <v>164</v>
      </c>
      <c r="E15" s="26" t="s">
        <v>165</v>
      </c>
      <c r="F15" s="19" t="s">
        <v>333</v>
      </c>
      <c r="G15" s="42">
        <v>45980</v>
      </c>
      <c r="H15" s="37"/>
    </row>
    <row r="16" spans="1:8" ht="52.8" customHeight="1" thickBot="1" x14ac:dyDescent="0.45">
      <c r="A16" s="27" t="s">
        <v>174</v>
      </c>
      <c r="B16" s="35" t="s">
        <v>167</v>
      </c>
      <c r="C16" s="27" t="s">
        <v>8</v>
      </c>
      <c r="D16" s="26" t="s">
        <v>168</v>
      </c>
      <c r="E16" s="26" t="s">
        <v>169</v>
      </c>
      <c r="F16" s="19" t="s">
        <v>333</v>
      </c>
      <c r="G16" s="42">
        <v>45980</v>
      </c>
      <c r="H16" s="37"/>
    </row>
    <row r="17" spans="1:8" ht="52.8" customHeight="1" thickBot="1" x14ac:dyDescent="0.45">
      <c r="A17" s="27" t="s">
        <v>178</v>
      </c>
      <c r="B17" s="35" t="s">
        <v>171</v>
      </c>
      <c r="C17" s="27" t="s">
        <v>8</v>
      </c>
      <c r="D17" s="26" t="s">
        <v>172</v>
      </c>
      <c r="E17" s="26" t="s">
        <v>173</v>
      </c>
      <c r="F17" s="19" t="s">
        <v>333</v>
      </c>
      <c r="G17" s="42">
        <v>45980</v>
      </c>
      <c r="H17" s="37"/>
    </row>
    <row r="18" spans="1:8" ht="52.8" customHeight="1" thickBot="1" x14ac:dyDescent="0.45">
      <c r="A18" s="27" t="s">
        <v>351</v>
      </c>
      <c r="B18" s="35" t="s">
        <v>175</v>
      </c>
      <c r="C18" s="27" t="s">
        <v>8</v>
      </c>
      <c r="D18" s="26" t="s">
        <v>176</v>
      </c>
      <c r="E18" s="26" t="s">
        <v>177</v>
      </c>
      <c r="F18" s="19" t="s">
        <v>333</v>
      </c>
      <c r="G18" s="42">
        <v>45980</v>
      </c>
      <c r="H18" s="37"/>
    </row>
    <row r="19" spans="1:8" ht="69.599999999999994" customHeight="1" x14ac:dyDescent="0.4">
      <c r="A19" s="27" t="s">
        <v>352</v>
      </c>
      <c r="B19" s="35" t="s">
        <v>179</v>
      </c>
      <c r="C19" s="27" t="s">
        <v>8</v>
      </c>
      <c r="D19" s="26" t="s">
        <v>180</v>
      </c>
      <c r="E19" s="26" t="s">
        <v>181</v>
      </c>
      <c r="F19" s="19" t="s">
        <v>333</v>
      </c>
      <c r="G19" s="42">
        <v>45980</v>
      </c>
      <c r="H19" s="37"/>
    </row>
  </sheetData>
  <autoFilter ref="A1:H1" xr:uid="{00000000-0009-0000-0000-000003000000}"/>
  <phoneticPr fontId="1" type="noConversion"/>
  <dataValidations count="1">
    <dataValidation type="list" allowBlank="1" showInputMessage="1" showErrorMessage="1" sqref="F2:F19" xr:uid="{00000000-0002-0000-0300-000000000000}">
      <formula1>"PASS,FAIL,N/A"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topLeftCell="B1" zoomScale="85" zoomScaleNormal="85" workbookViewId="0">
      <pane ySplit="1" topLeftCell="A17" activePane="bottomLeft" state="frozen"/>
      <selection activeCell="D24" sqref="D24"/>
      <selection pane="bottomLeft" activeCell="E19" sqref="E19"/>
    </sheetView>
  </sheetViews>
  <sheetFormatPr defaultRowHeight="17.399999999999999" x14ac:dyDescent="0.4"/>
  <cols>
    <col min="1" max="1" width="19.19921875" style="51" bestFit="1" customWidth="1"/>
    <col min="2" max="2" width="14.796875" style="51" customWidth="1"/>
    <col min="3" max="3" width="14.09765625" style="51" customWidth="1"/>
    <col min="4" max="5" width="60.59765625" style="51" customWidth="1"/>
    <col min="6" max="6" width="13" style="21" customWidth="1"/>
    <col min="7" max="7" width="17.09765625" style="21" customWidth="1"/>
    <col min="8" max="8" width="28.69921875" style="51" customWidth="1"/>
  </cols>
  <sheetData>
    <row r="1" spans="1:8" ht="70.95" customHeight="1" thickBot="1" x14ac:dyDescent="0.45">
      <c r="A1" s="16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8" t="s">
        <v>21</v>
      </c>
    </row>
    <row r="2" spans="1:8" ht="105" customHeight="1" thickBot="1" x14ac:dyDescent="0.45">
      <c r="A2" s="38" t="s">
        <v>182</v>
      </c>
      <c r="B2" s="39" t="s">
        <v>183</v>
      </c>
      <c r="C2" s="27" t="s">
        <v>8</v>
      </c>
      <c r="D2" s="34" t="s">
        <v>329</v>
      </c>
      <c r="E2" s="34" t="s">
        <v>363</v>
      </c>
      <c r="F2" s="50" t="s">
        <v>333</v>
      </c>
      <c r="G2" s="42">
        <v>45980</v>
      </c>
      <c r="H2" s="26" t="s">
        <v>364</v>
      </c>
    </row>
    <row r="3" spans="1:8" ht="52.8" customHeight="1" thickBot="1" x14ac:dyDescent="0.45">
      <c r="A3" s="38" t="s">
        <v>184</v>
      </c>
      <c r="B3" s="39" t="s">
        <v>185</v>
      </c>
      <c r="C3" s="27" t="s">
        <v>8</v>
      </c>
      <c r="D3" s="34" t="s">
        <v>186</v>
      </c>
      <c r="E3" s="26" t="s">
        <v>187</v>
      </c>
      <c r="F3" s="50" t="s">
        <v>333</v>
      </c>
      <c r="G3" s="42">
        <v>45980</v>
      </c>
      <c r="H3" s="26" t="s">
        <v>188</v>
      </c>
    </row>
    <row r="4" spans="1:8" ht="52.8" customHeight="1" thickBot="1" x14ac:dyDescent="0.45">
      <c r="A4" s="38" t="s">
        <v>189</v>
      </c>
      <c r="B4" s="39" t="s">
        <v>190</v>
      </c>
      <c r="C4" s="27" t="s">
        <v>8</v>
      </c>
      <c r="D4" s="34" t="s">
        <v>191</v>
      </c>
      <c r="E4" s="26" t="s">
        <v>192</v>
      </c>
      <c r="F4" s="50" t="s">
        <v>333</v>
      </c>
      <c r="G4" s="42">
        <v>45980</v>
      </c>
      <c r="H4" s="26" t="s">
        <v>188</v>
      </c>
    </row>
    <row r="5" spans="1:8" ht="52.8" customHeight="1" thickBot="1" x14ac:dyDescent="0.45">
      <c r="A5" s="38" t="s">
        <v>193</v>
      </c>
      <c r="B5" s="39" t="s">
        <v>194</v>
      </c>
      <c r="C5" s="27" t="s">
        <v>8</v>
      </c>
      <c r="D5" s="34" t="s">
        <v>195</v>
      </c>
      <c r="E5" s="26" t="s">
        <v>365</v>
      </c>
      <c r="F5" s="50" t="s">
        <v>333</v>
      </c>
      <c r="G5" s="42">
        <v>45980</v>
      </c>
      <c r="H5" s="26" t="s">
        <v>188</v>
      </c>
    </row>
    <row r="6" spans="1:8" ht="87.6" customHeight="1" thickBot="1" x14ac:dyDescent="0.45">
      <c r="A6" s="38" t="s">
        <v>196</v>
      </c>
      <c r="B6" s="39" t="s">
        <v>197</v>
      </c>
      <c r="C6" s="27" t="s">
        <v>8</v>
      </c>
      <c r="D6" s="26" t="s">
        <v>327</v>
      </c>
      <c r="E6" s="26" t="s">
        <v>198</v>
      </c>
      <c r="F6" s="50" t="s">
        <v>333</v>
      </c>
      <c r="G6" s="42">
        <v>45980</v>
      </c>
      <c r="H6" s="26" t="s">
        <v>188</v>
      </c>
    </row>
    <row r="7" spans="1:8" ht="70.2" customHeight="1" thickBot="1" x14ac:dyDescent="0.45">
      <c r="A7" s="38" t="s">
        <v>199</v>
      </c>
      <c r="B7" s="39" t="s">
        <v>200</v>
      </c>
      <c r="C7" s="27" t="s">
        <v>8</v>
      </c>
      <c r="D7" s="26" t="s">
        <v>201</v>
      </c>
      <c r="E7" s="26" t="s">
        <v>202</v>
      </c>
      <c r="F7" s="50" t="s">
        <v>333</v>
      </c>
      <c r="G7" s="42">
        <v>45980</v>
      </c>
      <c r="H7" s="26" t="s">
        <v>188</v>
      </c>
    </row>
    <row r="8" spans="1:8" ht="87.6" customHeight="1" thickBot="1" x14ac:dyDescent="0.45">
      <c r="A8" s="38" t="s">
        <v>203</v>
      </c>
      <c r="B8" s="39" t="s">
        <v>204</v>
      </c>
      <c r="C8" s="27" t="s">
        <v>8</v>
      </c>
      <c r="D8" s="26" t="s">
        <v>328</v>
      </c>
      <c r="E8" s="26" t="s">
        <v>331</v>
      </c>
      <c r="F8" s="50" t="s">
        <v>333</v>
      </c>
      <c r="G8" s="42">
        <v>45980</v>
      </c>
      <c r="H8" s="26" t="s">
        <v>188</v>
      </c>
    </row>
    <row r="9" spans="1:8" ht="70.2" customHeight="1" thickBot="1" x14ac:dyDescent="0.45">
      <c r="A9" s="38" t="s">
        <v>205</v>
      </c>
      <c r="B9" s="39" t="s">
        <v>206</v>
      </c>
      <c r="C9" s="27" t="s">
        <v>8</v>
      </c>
      <c r="D9" s="26" t="s">
        <v>207</v>
      </c>
      <c r="E9" s="26" t="s">
        <v>208</v>
      </c>
      <c r="F9" s="50" t="s">
        <v>333</v>
      </c>
      <c r="G9" s="42">
        <v>45980</v>
      </c>
      <c r="H9" s="26" t="s">
        <v>188</v>
      </c>
    </row>
    <row r="10" spans="1:8" ht="52.8" customHeight="1" thickBot="1" x14ac:dyDescent="0.45">
      <c r="A10" s="38" t="s">
        <v>209</v>
      </c>
      <c r="B10" s="39" t="s">
        <v>210</v>
      </c>
      <c r="C10" s="27" t="s">
        <v>8</v>
      </c>
      <c r="D10" s="26" t="s">
        <v>211</v>
      </c>
      <c r="E10" s="26" t="s">
        <v>212</v>
      </c>
      <c r="F10" s="50" t="s">
        <v>333</v>
      </c>
      <c r="G10" s="42">
        <v>45980</v>
      </c>
      <c r="H10" s="26" t="s">
        <v>188</v>
      </c>
    </row>
    <row r="11" spans="1:8" ht="226.8" customHeight="1" thickBot="1" x14ac:dyDescent="0.45">
      <c r="A11" s="38" t="s">
        <v>213</v>
      </c>
      <c r="B11" s="39" t="s">
        <v>214</v>
      </c>
      <c r="C11" s="27" t="s">
        <v>8</v>
      </c>
      <c r="D11" s="26" t="s">
        <v>215</v>
      </c>
      <c r="E11" s="26" t="s">
        <v>216</v>
      </c>
      <c r="F11" s="50" t="s">
        <v>333</v>
      </c>
      <c r="G11" s="42">
        <v>45980</v>
      </c>
      <c r="H11" s="26" t="s">
        <v>188</v>
      </c>
    </row>
    <row r="12" spans="1:8" ht="52.8" customHeight="1" thickBot="1" x14ac:dyDescent="0.45">
      <c r="A12" s="38" t="s">
        <v>217</v>
      </c>
      <c r="B12" s="39" t="s">
        <v>218</v>
      </c>
      <c r="C12" s="27" t="s">
        <v>8</v>
      </c>
      <c r="D12" s="26" t="s">
        <v>219</v>
      </c>
      <c r="E12" s="26" t="s">
        <v>220</v>
      </c>
      <c r="F12" s="50" t="s">
        <v>333</v>
      </c>
      <c r="G12" s="42">
        <v>45980</v>
      </c>
      <c r="H12" s="26" t="s">
        <v>188</v>
      </c>
    </row>
    <row r="13" spans="1:8" ht="70.2" customHeight="1" thickBot="1" x14ac:dyDescent="0.45">
      <c r="A13" s="38" t="s">
        <v>221</v>
      </c>
      <c r="B13" s="39" t="s">
        <v>222</v>
      </c>
      <c r="C13" s="27" t="s">
        <v>8</v>
      </c>
      <c r="D13" s="26" t="s">
        <v>223</v>
      </c>
      <c r="E13" s="26" t="s">
        <v>330</v>
      </c>
      <c r="F13" s="50" t="s">
        <v>333</v>
      </c>
      <c r="G13" s="42">
        <v>45980</v>
      </c>
      <c r="H13" s="26" t="s">
        <v>188</v>
      </c>
    </row>
    <row r="14" spans="1:8" ht="70.2" customHeight="1" thickBot="1" x14ac:dyDescent="0.45">
      <c r="A14" s="38" t="s">
        <v>224</v>
      </c>
      <c r="B14" s="39" t="s">
        <v>225</v>
      </c>
      <c r="C14" s="27" t="s">
        <v>8</v>
      </c>
      <c r="D14" s="26" t="s">
        <v>223</v>
      </c>
      <c r="E14" s="26" t="s">
        <v>332</v>
      </c>
      <c r="F14" s="50" t="s">
        <v>333</v>
      </c>
      <c r="G14" s="42">
        <v>45980</v>
      </c>
      <c r="H14" s="26" t="s">
        <v>188</v>
      </c>
    </row>
    <row r="15" spans="1:8" ht="52.8" customHeight="1" thickBot="1" x14ac:dyDescent="0.45">
      <c r="A15" s="38" t="s">
        <v>226</v>
      </c>
      <c r="B15" s="39" t="s">
        <v>227</v>
      </c>
      <c r="C15" s="27" t="s">
        <v>8</v>
      </c>
      <c r="D15" s="26" t="s">
        <v>228</v>
      </c>
      <c r="E15" s="26" t="s">
        <v>229</v>
      </c>
      <c r="F15" s="50" t="s">
        <v>333</v>
      </c>
      <c r="G15" s="42">
        <v>45980</v>
      </c>
      <c r="H15" s="26" t="s">
        <v>188</v>
      </c>
    </row>
    <row r="16" spans="1:8" ht="70.2" customHeight="1" thickBot="1" x14ac:dyDescent="0.45">
      <c r="A16" s="38" t="s">
        <v>230</v>
      </c>
      <c r="B16" s="39" t="s">
        <v>231</v>
      </c>
      <c r="C16" s="27" t="s">
        <v>8</v>
      </c>
      <c r="D16" s="26" t="s">
        <v>232</v>
      </c>
      <c r="E16" s="26" t="s">
        <v>233</v>
      </c>
      <c r="F16" s="50" t="s">
        <v>333</v>
      </c>
      <c r="G16" s="42">
        <v>45980</v>
      </c>
      <c r="H16" s="26" t="s">
        <v>188</v>
      </c>
    </row>
    <row r="17" spans="1:8" ht="52.8" customHeight="1" thickBot="1" x14ac:dyDescent="0.45">
      <c r="A17" s="38" t="s">
        <v>234</v>
      </c>
      <c r="B17" s="39" t="s">
        <v>235</v>
      </c>
      <c r="C17" s="27" t="s">
        <v>8</v>
      </c>
      <c r="D17" s="26" t="s">
        <v>236</v>
      </c>
      <c r="E17" s="26" t="s">
        <v>237</v>
      </c>
      <c r="F17" s="50" t="s">
        <v>333</v>
      </c>
      <c r="G17" s="42">
        <v>45980</v>
      </c>
      <c r="H17" s="26" t="s">
        <v>188</v>
      </c>
    </row>
    <row r="18" spans="1:8" ht="52.8" customHeight="1" thickBot="1" x14ac:dyDescent="0.45">
      <c r="A18" s="38" t="s">
        <v>238</v>
      </c>
      <c r="B18" s="39" t="s">
        <v>239</v>
      </c>
      <c r="C18" s="27" t="s">
        <v>8</v>
      </c>
      <c r="D18" s="26" t="s">
        <v>240</v>
      </c>
      <c r="E18" s="26" t="s">
        <v>241</v>
      </c>
      <c r="F18" s="50" t="s">
        <v>333</v>
      </c>
      <c r="G18" s="42">
        <v>45980</v>
      </c>
      <c r="H18" s="26" t="s">
        <v>188</v>
      </c>
    </row>
    <row r="19" spans="1:8" ht="52.2" customHeight="1" thickBot="1" x14ac:dyDescent="0.45">
      <c r="A19" s="38" t="s">
        <v>242</v>
      </c>
      <c r="B19" s="39" t="s">
        <v>366</v>
      </c>
      <c r="C19" s="27" t="s">
        <v>8</v>
      </c>
      <c r="D19" s="26" t="s">
        <v>368</v>
      </c>
      <c r="E19" s="26" t="s">
        <v>370</v>
      </c>
      <c r="F19" s="50" t="s">
        <v>333</v>
      </c>
      <c r="G19" s="42">
        <v>45980</v>
      </c>
    </row>
    <row r="20" spans="1:8" ht="52.2" x14ac:dyDescent="0.4">
      <c r="A20" s="38" t="s">
        <v>375</v>
      </c>
      <c r="B20" s="39" t="s">
        <v>367</v>
      </c>
      <c r="C20" s="27" t="s">
        <v>8</v>
      </c>
      <c r="D20" s="26" t="s">
        <v>369</v>
      </c>
      <c r="E20" s="26" t="s">
        <v>371</v>
      </c>
      <c r="F20" s="50" t="s">
        <v>333</v>
      </c>
      <c r="G20" s="42">
        <v>45980</v>
      </c>
    </row>
  </sheetData>
  <autoFilter ref="A1:H1" xr:uid="{00000000-0009-0000-0000-000004000000}"/>
  <phoneticPr fontId="1" type="noConversion"/>
  <dataValidations count="1">
    <dataValidation type="list" allowBlank="1" showInputMessage="1" showErrorMessage="1" sqref="F2:F20" xr:uid="{00000000-0002-0000-0400-000000000000}">
      <formula1>"PASS,FAIL,N/A"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tabSelected="1" topLeftCell="B1" zoomScaleNormal="100" workbookViewId="0">
      <pane ySplit="1" topLeftCell="A10" activePane="bottomLeft" state="frozen"/>
      <selection pane="bottomLeft" activeCell="H11" sqref="H11"/>
    </sheetView>
  </sheetViews>
  <sheetFormatPr defaultRowHeight="17.399999999999999" x14ac:dyDescent="0.4"/>
  <cols>
    <col min="1" max="1" width="19.19921875" style="51" bestFit="1" customWidth="1"/>
    <col min="2" max="2" width="14.796875" style="51" customWidth="1"/>
    <col min="3" max="3" width="14.09765625" style="51" customWidth="1"/>
    <col min="4" max="4" width="51.296875" style="51" customWidth="1"/>
    <col min="5" max="5" width="38.19921875" style="51" customWidth="1"/>
    <col min="6" max="6" width="13" style="21" customWidth="1"/>
    <col min="7" max="7" width="17.09765625" style="21" customWidth="1"/>
    <col min="8" max="8" width="28.69921875" style="51" customWidth="1"/>
  </cols>
  <sheetData>
    <row r="1" spans="1:8" ht="70.95" customHeight="1" thickBot="1" x14ac:dyDescent="0.45">
      <c r="A1" s="16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8" t="s">
        <v>21</v>
      </c>
    </row>
    <row r="2" spans="1:8" ht="52.8" customHeight="1" thickBot="1" x14ac:dyDescent="0.45">
      <c r="A2" s="23" t="s">
        <v>243</v>
      </c>
      <c r="B2" s="39" t="s">
        <v>244</v>
      </c>
      <c r="C2" s="27" t="s">
        <v>8</v>
      </c>
      <c r="D2" s="22" t="s">
        <v>245</v>
      </c>
      <c r="E2" s="22" t="s">
        <v>246</v>
      </c>
      <c r="F2" s="44" t="s">
        <v>333</v>
      </c>
      <c r="G2" s="43">
        <v>45981</v>
      </c>
      <c r="H2" s="24"/>
    </row>
    <row r="3" spans="1:8" ht="52.8" customHeight="1" thickBot="1" x14ac:dyDescent="0.45">
      <c r="A3" s="23" t="s">
        <v>247</v>
      </c>
      <c r="B3" s="39" t="s">
        <v>248</v>
      </c>
      <c r="C3" s="27" t="s">
        <v>8</v>
      </c>
      <c r="D3" s="22" t="s">
        <v>249</v>
      </c>
      <c r="E3" s="22" t="s">
        <v>151</v>
      </c>
      <c r="F3" s="44" t="s">
        <v>333</v>
      </c>
      <c r="G3" s="43">
        <v>45981</v>
      </c>
      <c r="H3" s="24"/>
    </row>
    <row r="4" spans="1:8" ht="52.8" customHeight="1" thickBot="1" x14ac:dyDescent="0.45">
      <c r="A4" s="23" t="s">
        <v>250</v>
      </c>
      <c r="B4" s="39" t="s">
        <v>251</v>
      </c>
      <c r="C4" s="27" t="s">
        <v>8</v>
      </c>
      <c r="D4" s="22" t="s">
        <v>252</v>
      </c>
      <c r="E4" s="22" t="s">
        <v>151</v>
      </c>
      <c r="F4" s="44" t="s">
        <v>333</v>
      </c>
      <c r="G4" s="43">
        <v>45981</v>
      </c>
      <c r="H4" s="47"/>
    </row>
    <row r="5" spans="1:8" ht="52.8" customHeight="1" thickBot="1" x14ac:dyDescent="0.45">
      <c r="A5" s="23" t="s">
        <v>253</v>
      </c>
      <c r="B5" s="39" t="s">
        <v>254</v>
      </c>
      <c r="C5" s="27" t="s">
        <v>8</v>
      </c>
      <c r="D5" s="22" t="s">
        <v>255</v>
      </c>
      <c r="E5" s="22" t="s">
        <v>151</v>
      </c>
      <c r="F5" s="44" t="s">
        <v>333</v>
      </c>
      <c r="G5" s="43">
        <v>45981</v>
      </c>
      <c r="H5" s="47"/>
    </row>
    <row r="6" spans="1:8" ht="122.4" customHeight="1" thickBot="1" x14ac:dyDescent="0.45">
      <c r="A6" s="23" t="s">
        <v>256</v>
      </c>
      <c r="B6" s="39" t="s">
        <v>257</v>
      </c>
      <c r="C6" s="27" t="s">
        <v>8</v>
      </c>
      <c r="D6" s="22" t="s">
        <v>258</v>
      </c>
      <c r="E6" s="22" t="s">
        <v>259</v>
      </c>
      <c r="F6" s="44" t="s">
        <v>333</v>
      </c>
      <c r="G6" s="43">
        <v>45981</v>
      </c>
      <c r="H6" s="47"/>
    </row>
    <row r="7" spans="1:8" ht="52.8" customHeight="1" thickBot="1" x14ac:dyDescent="0.45">
      <c r="A7" s="23" t="s">
        <v>260</v>
      </c>
      <c r="B7" s="39" t="s">
        <v>261</v>
      </c>
      <c r="C7" s="27" t="s">
        <v>8</v>
      </c>
      <c r="D7" s="22" t="s">
        <v>262</v>
      </c>
      <c r="E7" s="22" t="s">
        <v>372</v>
      </c>
      <c r="F7" s="44" t="s">
        <v>333</v>
      </c>
      <c r="G7" s="43">
        <v>45981</v>
      </c>
      <c r="H7" s="47" t="s">
        <v>373</v>
      </c>
    </row>
    <row r="8" spans="1:8" ht="70.2" customHeight="1" thickBot="1" x14ac:dyDescent="0.45">
      <c r="A8" s="23" t="s">
        <v>263</v>
      </c>
      <c r="B8" s="39" t="s">
        <v>264</v>
      </c>
      <c r="C8" s="27" t="s">
        <v>8</v>
      </c>
      <c r="D8" s="22" t="s">
        <v>265</v>
      </c>
      <c r="E8" s="22" t="s">
        <v>266</v>
      </c>
      <c r="F8" s="44" t="s">
        <v>333</v>
      </c>
      <c r="G8" s="43">
        <v>45981</v>
      </c>
      <c r="H8" s="47"/>
    </row>
    <row r="9" spans="1:8" ht="70.2" customHeight="1" thickBot="1" x14ac:dyDescent="0.45">
      <c r="A9" s="23" t="s">
        <v>267</v>
      </c>
      <c r="B9" s="39" t="s">
        <v>268</v>
      </c>
      <c r="C9" s="27" t="s">
        <v>8</v>
      </c>
      <c r="D9" s="22" t="s">
        <v>269</v>
      </c>
      <c r="E9" s="22" t="s">
        <v>270</v>
      </c>
      <c r="F9" s="44" t="s">
        <v>333</v>
      </c>
      <c r="G9" s="43">
        <v>45981</v>
      </c>
      <c r="H9" s="47"/>
    </row>
    <row r="10" spans="1:8" ht="70.2" customHeight="1" thickBot="1" x14ac:dyDescent="0.45">
      <c r="A10" s="23" t="s">
        <v>271</v>
      </c>
      <c r="B10" s="39" t="s">
        <v>272</v>
      </c>
      <c r="C10" s="27" t="s">
        <v>8</v>
      </c>
      <c r="D10" s="22" t="s">
        <v>273</v>
      </c>
      <c r="E10" s="22" t="s">
        <v>325</v>
      </c>
      <c r="F10" s="44" t="s">
        <v>333</v>
      </c>
      <c r="G10" s="43">
        <v>45981</v>
      </c>
      <c r="H10" s="47" t="s">
        <v>374</v>
      </c>
    </row>
    <row r="11" spans="1:8" ht="70.2" customHeight="1" thickBot="1" x14ac:dyDescent="0.45">
      <c r="A11" s="23" t="s">
        <v>274</v>
      </c>
      <c r="B11" s="39" t="s">
        <v>275</v>
      </c>
      <c r="C11" s="27" t="s">
        <v>8</v>
      </c>
      <c r="D11" s="22" t="s">
        <v>276</v>
      </c>
      <c r="E11" s="22" t="s">
        <v>277</v>
      </c>
      <c r="F11" s="44" t="s">
        <v>333</v>
      </c>
      <c r="G11" s="43">
        <v>45981</v>
      </c>
      <c r="H11" s="47" t="s">
        <v>377</v>
      </c>
    </row>
    <row r="12" spans="1:8" ht="52.8" customHeight="1" thickBot="1" x14ac:dyDescent="0.45">
      <c r="A12" s="23" t="s">
        <v>278</v>
      </c>
      <c r="B12" s="39" t="s">
        <v>279</v>
      </c>
      <c r="C12" s="27" t="s">
        <v>8</v>
      </c>
      <c r="D12" s="22" t="s">
        <v>280</v>
      </c>
      <c r="E12" s="22" t="s">
        <v>281</v>
      </c>
      <c r="F12" s="44" t="s">
        <v>333</v>
      </c>
      <c r="G12" s="43">
        <v>45981</v>
      </c>
      <c r="H12" s="47"/>
    </row>
    <row r="13" spans="1:8" ht="52.8" customHeight="1" thickBot="1" x14ac:dyDescent="0.45">
      <c r="A13" s="23" t="s">
        <v>282</v>
      </c>
      <c r="B13" s="39" t="s">
        <v>283</v>
      </c>
      <c r="C13" s="27" t="s">
        <v>8</v>
      </c>
      <c r="D13" s="22" t="s">
        <v>284</v>
      </c>
      <c r="E13" s="22" t="s">
        <v>285</v>
      </c>
      <c r="F13" s="44" t="s">
        <v>333</v>
      </c>
      <c r="G13" s="43">
        <v>45981</v>
      </c>
      <c r="H13" s="47"/>
    </row>
    <row r="14" spans="1:8" ht="34.799999999999997" customHeight="1" x14ac:dyDescent="0.4">
      <c r="A14" s="23" t="s">
        <v>286</v>
      </c>
      <c r="B14" s="39" t="s">
        <v>287</v>
      </c>
      <c r="C14" s="27" t="s">
        <v>8</v>
      </c>
      <c r="D14" s="22" t="s">
        <v>288</v>
      </c>
      <c r="E14" s="22" t="s">
        <v>289</v>
      </c>
      <c r="F14" s="44" t="s">
        <v>333</v>
      </c>
      <c r="G14" s="43">
        <v>45981</v>
      </c>
      <c r="H14" s="47"/>
    </row>
  </sheetData>
  <autoFilter ref="A1:H1" xr:uid="{00000000-0009-0000-0000-000005000000}"/>
  <phoneticPr fontId="1" type="noConversion"/>
  <dataValidations count="1">
    <dataValidation type="list" allowBlank="1" showInputMessage="1" showErrorMessage="1" sqref="F2:F14" xr:uid="{00000000-0002-0000-0500-000000000000}">
      <formula1>"PASS,FAIL,N/A"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진척사항</vt:lpstr>
      <vt:lpstr>회원가입</vt:lpstr>
      <vt:lpstr>로그인</vt:lpstr>
      <vt:lpstr>문의</vt:lpstr>
      <vt:lpstr>뉴스</vt:lpstr>
      <vt:lpstr>회원관리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leehk</cp:lastModifiedBy>
  <dcterms:created xsi:type="dcterms:W3CDTF">2025-06-24T08:23:46Z</dcterms:created>
  <dcterms:modified xsi:type="dcterms:W3CDTF">2025-11-21T10:13:59Z</dcterms:modified>
</cp:coreProperties>
</file>